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gnacioJavierCayoUga\Desktop\Pruebas codigos\Proyecto_regularizacion_permisos_p02\"/>
    </mc:Choice>
  </mc:AlternateContent>
  <xr:revisionPtr revIDLastSave="0" documentId="13_ncr:1_{DF48D312-883E-48DF-87E6-2B22EA47C14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EJEMPLO" sheetId="1" r:id="rId1"/>
    <sheet name="REPORTE MENSUAL" sheetId="8" r:id="rId2"/>
    <sheet name="ATRASOS" sheetId="14" r:id="rId3"/>
    <sheet name="FERIADOS" sheetId="13" state="hidden" r:id="rId4"/>
    <sheet name="FERIADOS 25" sheetId="12" state="hidden" r:id="rId5"/>
    <sheet name="DATOS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8" l="1"/>
  <c r="D5" i="8"/>
  <c r="F8" i="8" s="1"/>
  <c r="D4" i="8" s="1"/>
  <c r="D6" i="8" s="1"/>
  <c r="G10" i="8" s="1"/>
  <c r="D3" i="1"/>
  <c r="F6" i="1" s="1"/>
  <c r="F2" i="1"/>
  <c r="F9" i="8" l="1"/>
  <c r="D2" i="1"/>
  <c r="D4" i="1" s="1"/>
  <c r="G8" i="1" s="1"/>
  <c r="F7" i="1"/>
  <c r="G8" i="8"/>
  <c r="G9" i="8" s="1"/>
  <c r="H10" i="8"/>
  <c r="H8" i="1" l="1"/>
  <c r="G6" i="1"/>
  <c r="G7" i="1" s="1"/>
  <c r="I10" i="8"/>
  <c r="H8" i="8"/>
  <c r="H9" i="8" s="1"/>
  <c r="J10" i="8" l="1"/>
  <c r="I8" i="8"/>
  <c r="I9" i="8" s="1"/>
  <c r="H6" i="1"/>
  <c r="H7" i="1" s="1"/>
  <c r="I8" i="1"/>
  <c r="K10" i="8" l="1"/>
  <c r="J8" i="8"/>
  <c r="J9" i="8" s="1"/>
  <c r="J8" i="1"/>
  <c r="I6" i="1"/>
  <c r="I7" i="1" s="1"/>
  <c r="K8" i="8" l="1"/>
  <c r="K9" i="8" s="1"/>
  <c r="L10" i="8"/>
  <c r="K8" i="1"/>
  <c r="J6" i="1"/>
  <c r="J7" i="1" s="1"/>
  <c r="L8" i="8" l="1"/>
  <c r="L9" i="8" s="1"/>
  <c r="M10" i="8"/>
  <c r="L8" i="1"/>
  <c r="K6" i="1"/>
  <c r="K7" i="1" s="1"/>
  <c r="L6" i="1" l="1"/>
  <c r="L7" i="1" s="1"/>
  <c r="M8" i="1"/>
  <c r="N10" i="8"/>
  <c r="M8" i="8"/>
  <c r="M9" i="8" s="1"/>
  <c r="O10" i="8" l="1"/>
  <c r="N8" i="8"/>
  <c r="N9" i="8" s="1"/>
  <c r="M6" i="1"/>
  <c r="M7" i="1" s="1"/>
  <c r="N8" i="1"/>
  <c r="O8" i="8" l="1"/>
  <c r="O9" i="8" s="1"/>
  <c r="P10" i="8"/>
  <c r="O8" i="1"/>
  <c r="N6" i="1"/>
  <c r="N7" i="1" s="1"/>
  <c r="P8" i="1" l="1"/>
  <c r="O6" i="1"/>
  <c r="O7" i="1" s="1"/>
  <c r="P8" i="8"/>
  <c r="P9" i="8" s="1"/>
  <c r="Q10" i="8"/>
  <c r="P6" i="1" l="1"/>
  <c r="P7" i="1" s="1"/>
  <c r="Q8" i="1"/>
  <c r="Q8" i="8"/>
  <c r="Q9" i="8" s="1"/>
  <c r="R10" i="8"/>
  <c r="Q6" i="1" l="1"/>
  <c r="Q7" i="1" s="1"/>
  <c r="R8" i="1"/>
  <c r="S10" i="8"/>
  <c r="R8" i="8"/>
  <c r="R9" i="8" s="1"/>
  <c r="T10" i="8" l="1"/>
  <c r="S8" i="8"/>
  <c r="S9" i="8" s="1"/>
  <c r="S8" i="1"/>
  <c r="R6" i="1"/>
  <c r="R7" i="1" s="1"/>
  <c r="T8" i="1" l="1"/>
  <c r="S6" i="1"/>
  <c r="S7" i="1" s="1"/>
  <c r="T8" i="8"/>
  <c r="T9" i="8" s="1"/>
  <c r="U10" i="8"/>
  <c r="U8" i="8" l="1"/>
  <c r="U9" i="8" s="1"/>
  <c r="V10" i="8"/>
  <c r="T6" i="1"/>
  <c r="T7" i="1" s="1"/>
  <c r="U8" i="1"/>
  <c r="V8" i="8" l="1"/>
  <c r="V9" i="8" s="1"/>
  <c r="W10" i="8"/>
  <c r="U6" i="1"/>
  <c r="U7" i="1" s="1"/>
  <c r="V8" i="1"/>
  <c r="W8" i="8" l="1"/>
  <c r="W9" i="8" s="1"/>
  <c r="X10" i="8"/>
  <c r="W8" i="1"/>
  <c r="V6" i="1"/>
  <c r="V7" i="1" s="1"/>
  <c r="X8" i="8" l="1"/>
  <c r="X9" i="8" s="1"/>
  <c r="Y10" i="8"/>
  <c r="X8" i="1"/>
  <c r="W6" i="1"/>
  <c r="W7" i="1" s="1"/>
  <c r="Y8" i="1" l="1"/>
  <c r="X6" i="1"/>
  <c r="X7" i="1" s="1"/>
  <c r="Y8" i="8"/>
  <c r="Y9" i="8" s="1"/>
  <c r="Z10" i="8"/>
  <c r="Z8" i="8" l="1"/>
  <c r="Z9" i="8" s="1"/>
  <c r="AA10" i="8"/>
  <c r="Y6" i="1"/>
  <c r="Y7" i="1" s="1"/>
  <c r="Z8" i="1"/>
  <c r="AA8" i="8" l="1"/>
  <c r="AA9" i="8" s="1"/>
  <c r="AB10" i="8"/>
  <c r="Z6" i="1"/>
  <c r="Z7" i="1" s="1"/>
  <c r="AA8" i="1"/>
  <c r="AA6" i="1" l="1"/>
  <c r="AA7" i="1" s="1"/>
  <c r="AB8" i="1"/>
  <c r="AB8" i="8"/>
  <c r="AB9" i="8" s="1"/>
  <c r="AC10" i="8"/>
  <c r="AD10" i="8" l="1"/>
  <c r="AC8" i="8"/>
  <c r="AC9" i="8" s="1"/>
  <c r="AB6" i="1"/>
  <c r="AB7" i="1" s="1"/>
  <c r="AC8" i="1"/>
  <c r="AD8" i="1" l="1"/>
  <c r="AC6" i="1"/>
  <c r="AC7" i="1" s="1"/>
  <c r="AE10" i="8"/>
  <c r="AD8" i="8"/>
  <c r="AD9" i="8" s="1"/>
  <c r="AE8" i="1" l="1"/>
  <c r="AD6" i="1"/>
  <c r="AD7" i="1" s="1"/>
  <c r="AE8" i="8"/>
  <c r="AE9" i="8" s="1"/>
  <c r="AF10" i="8"/>
  <c r="AF8" i="1" l="1"/>
  <c r="AE6" i="1"/>
  <c r="AE7" i="1" s="1"/>
  <c r="AF8" i="8"/>
  <c r="AF9" i="8" s="1"/>
  <c r="AG10" i="8"/>
  <c r="AG8" i="8" l="1"/>
  <c r="AG9" i="8" s="1"/>
  <c r="AH10" i="8"/>
  <c r="AF6" i="1"/>
  <c r="AF7" i="1" s="1"/>
  <c r="AG8" i="1"/>
  <c r="AG6" i="1" l="1"/>
  <c r="AG7" i="1" s="1"/>
  <c r="AH8" i="1"/>
  <c r="AI10" i="8"/>
  <c r="AH8" i="8"/>
  <c r="AH9" i="8" s="1"/>
  <c r="AJ10" i="8" l="1"/>
  <c r="AJ8" i="8" s="1"/>
  <c r="AJ9" i="8" s="1"/>
  <c r="AI8" i="8"/>
  <c r="AI9" i="8" s="1"/>
  <c r="AI8" i="1"/>
  <c r="AH6" i="1"/>
  <c r="AH7" i="1" s="1"/>
  <c r="AJ8" i="1" l="1"/>
  <c r="AJ6" i="1" s="1"/>
  <c r="AJ7" i="1" s="1"/>
  <c r="AI6" i="1"/>
  <c r="AI7" i="1" s="1"/>
</calcChain>
</file>

<file path=xl/sharedStrings.xml><?xml version="1.0" encoding="utf-8"?>
<sst xmlns="http://schemas.openxmlformats.org/spreadsheetml/2006/main" count="2208" uniqueCount="154">
  <si>
    <t>AÑO</t>
  </si>
  <si>
    <t>MES</t>
  </si>
  <si>
    <t>RBD</t>
  </si>
  <si>
    <t>Presente</t>
  </si>
  <si>
    <t>P</t>
  </si>
  <si>
    <t>RUT</t>
  </si>
  <si>
    <t>NOMBRE FUNCIONARIO</t>
  </si>
  <si>
    <t>Ausente</t>
  </si>
  <si>
    <t>A</t>
  </si>
  <si>
    <t>F</t>
  </si>
  <si>
    <t>Permiso Administrativo</t>
  </si>
  <si>
    <t>PA</t>
  </si>
  <si>
    <t>Permiso Sin Goce</t>
  </si>
  <si>
    <t>PSG</t>
  </si>
  <si>
    <t>Comisión de Servicios</t>
  </si>
  <si>
    <t>CS</t>
  </si>
  <si>
    <t>Permisos Especiales</t>
  </si>
  <si>
    <t>PE</t>
  </si>
  <si>
    <t>Feriado</t>
  </si>
  <si>
    <t>Licencia Médica</t>
  </si>
  <si>
    <t>LM</t>
  </si>
  <si>
    <t>No corresponde asist.</t>
  </si>
  <si>
    <t>NCA</t>
  </si>
  <si>
    <t>El envío de la planilla mensual de asistencia debe ser mediante correo electrónico, el cual debe ir dirigido a:</t>
  </si>
  <si>
    <t>N°</t>
  </si>
  <si>
    <t>DIA</t>
  </si>
  <si>
    <t>NOMBRE</t>
  </si>
  <si>
    <t>Enero</t>
  </si>
  <si>
    <t>L</t>
  </si>
  <si>
    <t>Febrero</t>
  </si>
  <si>
    <t>M</t>
  </si>
  <si>
    <t>Marzo</t>
  </si>
  <si>
    <t>Abril</t>
  </si>
  <si>
    <t>J</t>
  </si>
  <si>
    <t>Mayo</t>
  </si>
  <si>
    <t>V</t>
  </si>
  <si>
    <t>Junio</t>
  </si>
  <si>
    <t>S</t>
  </si>
  <si>
    <t>Julio</t>
  </si>
  <si>
    <t>D</t>
  </si>
  <si>
    <t>Agosto</t>
  </si>
  <si>
    <t>Septiembre</t>
  </si>
  <si>
    <t>Octubre</t>
  </si>
  <si>
    <t>Noviembre</t>
  </si>
  <si>
    <t>Diciembre</t>
  </si>
  <si>
    <t>NOMBRE FUNCIONARIO(A)</t>
  </si>
  <si>
    <t>Colegio Antu</t>
  </si>
  <si>
    <t>Colegio Naciones Unidas</t>
  </si>
  <si>
    <t>Colegio Palestino</t>
  </si>
  <si>
    <t>Escuela Bas. Oscar Encalada Yovanovich</t>
  </si>
  <si>
    <t>Escuela Esperanza Joven</t>
  </si>
  <si>
    <t>Liceo Politecnico Ciencia Y Tecnologia</t>
  </si>
  <si>
    <t>Liceo Polivalente Olof Palme</t>
  </si>
  <si>
    <t>Liceo Portal De La Cisterna</t>
  </si>
  <si>
    <t>Centro Duc.Cardenal Jose Maria Caro</t>
  </si>
  <si>
    <t>Liceo Polivalente Lo Espejo</t>
  </si>
  <si>
    <t>Escuela Basica Salomon Sack</t>
  </si>
  <si>
    <t>Escuela Blue Star College</t>
  </si>
  <si>
    <t>Escuela Basica Santa Adriana</t>
  </si>
  <si>
    <t>Escuela Basica Acapulco</t>
  </si>
  <si>
    <t>Escuela Basica Alicia Ariztia De Silva</t>
  </si>
  <si>
    <t>Colegio Hernan Olguin</t>
  </si>
  <si>
    <t>Liceo Teniente Francisco Mery Aguirre</t>
  </si>
  <si>
    <t>Escuela Basica Clara Estrella</t>
  </si>
  <si>
    <t>Escuela Raul Saez Saez</t>
  </si>
  <si>
    <t>Escuela Basica Bernardo O´Higgins</t>
  </si>
  <si>
    <t>Escuela Basica República De Las Filipinas</t>
  </si>
  <si>
    <t>Escuela Basica República De Indonesia</t>
  </si>
  <si>
    <t>Escuela Especial De Educacion Tamarugal</t>
  </si>
  <si>
    <t>Jardin Infantil Estrellitas De La Mañana</t>
  </si>
  <si>
    <t>Jardin Infantil Pequeños Gigantes</t>
  </si>
  <si>
    <t>Jardin Infantil Mis Primeros Pasos</t>
  </si>
  <si>
    <t>Jardin Infantil Mi Mundo En Miniaturas</t>
  </si>
  <si>
    <t>Jardin Infantil Huelemu</t>
  </si>
  <si>
    <t>Jardin Infantil Manitos De Colores</t>
  </si>
  <si>
    <t>Escuela Consolidada Davila</t>
  </si>
  <si>
    <t>Escuela Poetas De Chile</t>
  </si>
  <si>
    <t>Escuela La Victoria</t>
  </si>
  <si>
    <t>Liceo Municipal Enrique Backausse</t>
  </si>
  <si>
    <t>Escuela Centro Educ. Rep. Mexicana</t>
  </si>
  <si>
    <t>Escuela Basica Ricardo E. Latcham</t>
  </si>
  <si>
    <t>Escuela De Parvulos Rayito De Luz</t>
  </si>
  <si>
    <t>Escuela Boroa</t>
  </si>
  <si>
    <t>Liceo Polivalente Eugenio Pereira Salas</t>
  </si>
  <si>
    <t>Escuela Lo Valledor</t>
  </si>
  <si>
    <t>Escuela Ciudad De Barcelona</t>
  </si>
  <si>
    <t>Escuela Villa Sur</t>
  </si>
  <si>
    <t>Colegio Parque Las Americas</t>
  </si>
  <si>
    <t>C.E.I.A.Pedro Aguirre Cerda</t>
  </si>
  <si>
    <t>Esc. Basica Municipal Risopatron</t>
  </si>
  <si>
    <t>Jardin Infantil La Marina</t>
  </si>
  <si>
    <t>Jardin Infantil Ochagavia</t>
  </si>
  <si>
    <t>Jardin Infantil Ceia</t>
  </si>
  <si>
    <t>Jardin Infantil Parque Las Americas</t>
  </si>
  <si>
    <t>Jardin Infantil Pequeño Aymara</t>
  </si>
  <si>
    <t>Jardin Infantil Mi Trencito De Lo Ovalle</t>
  </si>
  <si>
    <t>Jardin Infantil Ciudad De Barcelona</t>
  </si>
  <si>
    <t>Jardin Infantil Enrique Backausse</t>
  </si>
  <si>
    <t>Jardin Infantil Poetas De Chile</t>
  </si>
  <si>
    <t>Jardin Infantil Eugenio Pereira Salas</t>
  </si>
  <si>
    <t>Liceo Betsabe Hormazabal De Alarcon</t>
  </si>
  <si>
    <t>Liceo Andres Bello</t>
  </si>
  <si>
    <t>Escuela General Basica Santa Fe</t>
  </si>
  <si>
    <t>Escuela Territorio Antartico</t>
  </si>
  <si>
    <t>Escuela Llano Subercaseaux</t>
  </si>
  <si>
    <t>Escuela Villa San Miguel</t>
  </si>
  <si>
    <t>Escuela Basica Pablo Neruda</t>
  </si>
  <si>
    <t>Escuela Especial Los Cedros Del Libano</t>
  </si>
  <si>
    <t>Inst. Reg. Educ Adultos San Miguel</t>
  </si>
  <si>
    <t>Esc. Esp. De Adultos Hugo Morales Bizama</t>
  </si>
  <si>
    <t>Jardin Infantil Villa San Miguel</t>
  </si>
  <si>
    <t>Jardin Infantil Santa Fe</t>
  </si>
  <si>
    <t>Jardin Infantil Sala Cuna Andres Bello</t>
  </si>
  <si>
    <t>Jardin Infantil Territorio Antartico</t>
  </si>
  <si>
    <t>Jardin Infantil Llano Subercaseaux</t>
  </si>
  <si>
    <t>Centro Educacional Mirador</t>
  </si>
  <si>
    <t>Centro Educacional Municipal San Ramon</t>
  </si>
  <si>
    <t>Escuela Basica Aliven</t>
  </si>
  <si>
    <t>Escuela Basica Educadores De Chile</t>
  </si>
  <si>
    <t>Escuela Basica Karelmapu</t>
  </si>
  <si>
    <t>Escuela Basica Sendero Del Saber</t>
  </si>
  <si>
    <t>Escuela Basica Tupahue</t>
  </si>
  <si>
    <t>Escuela Basica Villa La Cultura</t>
  </si>
  <si>
    <t>Escuela Especial De Adultos Ceia San Ramón</t>
  </si>
  <si>
    <t>Escuela Nanihue</t>
  </si>
  <si>
    <t>Jardin Infantil Akun Pichiwentxu</t>
  </si>
  <si>
    <t>Jardin Infantil Caballito Feliz</t>
  </si>
  <si>
    <t>Jardin Infantil Las Hormiguitas</t>
  </si>
  <si>
    <t>Jardin Infantil Modelo</t>
  </si>
  <si>
    <t>Jardin Infantil Principes Del Reino</t>
  </si>
  <si>
    <t>Jardin Infantil Semillitas De Esperanza</t>
  </si>
  <si>
    <t>Liceo Araucania</t>
  </si>
  <si>
    <t>Liceo Purkuyen</t>
  </si>
  <si>
    <t>RUT (SIN PUNTOS Y CON DV)</t>
  </si>
  <si>
    <t>Fecha</t>
  </si>
  <si>
    <t>Día</t>
  </si>
  <si>
    <t>Tipo</t>
  </si>
  <si>
    <t>JUAN CARLOS ROJAS FUENTES</t>
  </si>
  <si>
    <t>11222333-4</t>
  </si>
  <si>
    <t>Jardín Infantil Cardenal Caro (CAD)</t>
  </si>
  <si>
    <t>Jardín Infantil Santa Adriana (CAD)</t>
  </si>
  <si>
    <t>Jardín Infantil Jesus Pescador (CAD)</t>
  </si>
  <si>
    <t>Jardín Infantil La Sonrisa (CAD)</t>
  </si>
  <si>
    <t>TOTAL HORAS COMPLETAS EN EL MES</t>
  </si>
  <si>
    <t>remuneraciones@slepsantarosa.gob.cl</t>
  </si>
  <si>
    <t>Ausencia INJUSTIFICADA</t>
  </si>
  <si>
    <t>Permiso Adm. (1/2 Día Mañana)</t>
  </si>
  <si>
    <t>Permiso Adm. (1/2 Día Tarde)</t>
  </si>
  <si>
    <t>PAM</t>
  </si>
  <si>
    <t>PAT</t>
  </si>
  <si>
    <t>Detallar Otro</t>
  </si>
  <si>
    <t>Otro</t>
  </si>
  <si>
    <t>OT</t>
  </si>
  <si>
    <t>Movilización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</si>
</sst>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rial"/>
      <family val="2"/>
    </font>
    <font>
      <b/>
      <i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textRotation="45"/>
    </xf>
    <xf numFmtId="14" fontId="3" fillId="0" borderId="0" xfId="0" applyNumberFormat="1" applyFont="1"/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4" xfId="0" applyFont="1" applyFill="1" applyBorder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1" fillId="2" borderId="1" xfId="0" applyFont="1" applyFill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left"/>
      <protection locked="0"/>
    </xf>
    <xf numFmtId="0" fontId="2" fillId="4" borderId="1" xfId="0" applyFont="1" applyFill="1" applyBorder="1" applyAlignment="1" applyProtection="1">
      <alignment horizontal="center"/>
      <protection locked="0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4" fontId="3" fillId="0" borderId="0" xfId="0" applyNumberFormat="1" applyFont="1" applyProtection="1">
      <protection hidden="1"/>
    </xf>
    <xf numFmtId="0" fontId="0" fillId="0" borderId="0" xfId="0" applyProtection="1">
      <protection hidden="1"/>
    </xf>
    <xf numFmtId="0" fontId="1" fillId="3" borderId="1" xfId="0" applyFont="1" applyFill="1" applyBorder="1" applyAlignment="1" applyProtection="1">
      <alignment horizontal="center"/>
      <protection hidden="1"/>
    </xf>
    <xf numFmtId="0" fontId="1" fillId="2" borderId="1" xfId="0" applyFont="1" applyFill="1" applyBorder="1" applyAlignment="1" applyProtection="1">
      <alignment horizontal="center"/>
      <protection hidden="1"/>
    </xf>
    <xf numFmtId="0" fontId="3" fillId="0" borderId="0" xfId="0" applyFont="1" applyProtection="1">
      <protection hidden="1"/>
    </xf>
    <xf numFmtId="0" fontId="3" fillId="0" borderId="0" xfId="0" applyFont="1" applyAlignment="1" applyProtection="1">
      <alignment textRotation="45"/>
      <protection hidden="1"/>
    </xf>
    <xf numFmtId="0" fontId="1" fillId="3" borderId="1" xfId="0" applyFont="1" applyFill="1" applyBorder="1" applyAlignment="1" applyProtection="1">
      <alignment horizontal="center" vertical="center"/>
      <protection hidden="1"/>
    </xf>
    <xf numFmtId="0" fontId="1" fillId="2" borderId="1" xfId="0" applyFont="1" applyFill="1" applyBorder="1" applyAlignment="1" applyProtection="1">
      <alignment horizontal="left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0" fontId="0" fillId="0" borderId="1" xfId="0" applyBorder="1" applyProtection="1">
      <protection locked="0"/>
    </xf>
    <xf numFmtId="0" fontId="0" fillId="5" borderId="1" xfId="0" applyFill="1" applyBorder="1" applyProtection="1">
      <protection locked="0"/>
    </xf>
    <xf numFmtId="0" fontId="8" fillId="0" borderId="1" xfId="0" applyFont="1" applyBorder="1" applyAlignment="1">
      <alignment horizontal="left" vertical="center" wrapText="1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2" xfId="0" applyBorder="1"/>
    <xf numFmtId="0" fontId="0" fillId="0" borderId="3" xfId="0" applyBorder="1"/>
    <xf numFmtId="0" fontId="5" fillId="0" borderId="0" xfId="0" applyFont="1" applyAlignment="1">
      <alignment horizontal="center" vertical="center"/>
    </xf>
    <xf numFmtId="0" fontId="0" fillId="0" borderId="0" xfId="0"/>
    <xf numFmtId="0" fontId="7" fillId="0" borderId="5" xfId="1" applyFont="1" applyBorder="1" applyAlignment="1">
      <alignment horizontal="left"/>
    </xf>
    <xf numFmtId="0" fontId="1" fillId="2" borderId="0" xfId="0" applyFont="1" applyFill="1" applyAlignment="1" applyProtection="1">
      <alignment horizontal="center" vertical="center" wrapText="1"/>
      <protection hidden="1"/>
    </xf>
    <xf numFmtId="0" fontId="1" fillId="2" borderId="10" xfId="0" applyFont="1" applyFill="1" applyBorder="1" applyAlignment="1" applyProtection="1">
      <alignment horizontal="center" vertical="center" wrapText="1"/>
      <protection hidden="1"/>
    </xf>
    <xf numFmtId="0" fontId="8" fillId="0" borderId="1" xfId="0" applyFont="1" applyBorder="1" applyAlignment="1" applyProtection="1">
      <alignment horizontal="left" vertical="center" wrapText="1"/>
      <protection hidden="1"/>
    </xf>
    <xf numFmtId="0" fontId="0" fillId="0" borderId="8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2" xfId="0" applyBorder="1" applyProtection="1">
      <protection hidden="1"/>
    </xf>
    <xf numFmtId="0" fontId="0" fillId="0" borderId="3" xfId="0" applyBorder="1" applyProtection="1"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7" fillId="0" borderId="5" xfId="1" applyFont="1" applyBorder="1" applyAlignment="1" applyProtection="1">
      <alignment horizontal="left"/>
      <protection hidden="1"/>
    </xf>
    <xf numFmtId="0" fontId="1" fillId="2" borderId="9" xfId="0" applyFont="1" applyFill="1" applyBorder="1" applyAlignment="1" applyProtection="1">
      <alignment horizontal="center" vertical="center" wrapText="1"/>
      <protection hidden="1"/>
    </xf>
    <xf numFmtId="0" fontId="1" fillId="2" borderId="5" xfId="0" applyFont="1" applyFill="1" applyBorder="1" applyAlignment="1" applyProtection="1">
      <alignment horizontal="center" vertical="center" wrapText="1"/>
      <protection hidden="1"/>
    </xf>
  </cellXfs>
  <cellStyles count="2">
    <cellStyle name="Hipervínculo" xfId="1" builtinId="8"/>
    <cellStyle name="Normal" xfId="0" builtinId="0"/>
  </cellStyles>
  <dxfs count="32">
    <dxf>
      <fill>
        <patternFill patternType="solid">
          <fgColor auto="1"/>
          <bgColor rgb="FF000242"/>
        </patternFill>
      </fill>
    </dxf>
    <dxf>
      <font>
        <b/>
      </font>
      <fill>
        <gradientFill degree="45">
          <stop position="0">
            <color theme="6" tint="0.80001220740379042"/>
          </stop>
          <stop position="0.5">
            <color theme="6" tint="0.40000610370189521"/>
          </stop>
          <stop position="1">
            <color theme="6" tint="0.80001220740379042"/>
          </stop>
        </gradientFill>
      </fill>
    </dxf>
    <dxf>
      <font>
        <b/>
      </font>
      <fill>
        <gradientFill>
          <stop position="0">
            <color theme="7" tint="-0.25095370342112489"/>
          </stop>
          <stop position="0.5">
            <color theme="7" tint="0.59999389629810485"/>
          </stop>
          <stop position="1">
            <color theme="7" tint="-0.25095370342112489"/>
          </stop>
        </gradientFill>
      </fill>
    </dxf>
    <dxf>
      <font>
        <b/>
        <color theme="0"/>
      </font>
      <fill>
        <gradientFill degree="45">
          <stop position="0">
            <color rgb="FF002060"/>
          </stop>
          <stop position="0.5">
            <color theme="4"/>
          </stop>
          <stop position="1">
            <color rgb="FF002060"/>
          </stop>
        </gradientFill>
      </fill>
    </dxf>
    <dxf>
      <font>
        <b/>
        <color auto="1"/>
      </font>
      <fill>
        <gradientFill>
          <stop position="0">
            <color theme="4" tint="0.40000610370189521"/>
          </stop>
          <stop position="0.5">
            <color theme="4" tint="0.80001220740379042"/>
          </stop>
          <stop position="1">
            <color theme="4" tint="0.40000610370189521"/>
          </stop>
        </gradientFill>
      </fill>
    </dxf>
    <dxf>
      <font>
        <b/>
        <color auto="1"/>
      </font>
      <fill>
        <gradientFill>
          <stop position="0">
            <color theme="6" tint="0.40000610370189521"/>
          </stop>
          <stop position="0.5">
            <color theme="6" tint="0.80001220740379042"/>
          </stop>
          <stop position="1">
            <color theme="6" tint="0.40000610370189521"/>
          </stop>
        </gradientFill>
      </fill>
    </dxf>
    <dxf>
      <font>
        <b/>
        <color auto="1"/>
      </font>
      <fill>
        <patternFill patternType="solid">
          <fgColor auto="1"/>
          <bgColor rgb="FFA7A7A7"/>
        </patternFill>
      </fill>
    </dxf>
    <dxf>
      <font>
        <b/>
        <color auto="1"/>
      </font>
      <fill>
        <gradientFill>
          <stop position="0">
            <color theme="8" tint="0.40000610370189521"/>
          </stop>
          <stop position="0.5">
            <color theme="8" tint="0.80001220740379042"/>
          </stop>
          <stop position="1">
            <color theme="8" tint="0.40000610370189521"/>
          </stop>
        </gradientFill>
      </fill>
    </dxf>
    <dxf>
      <font>
        <b/>
        <color theme="0"/>
      </font>
      <fill>
        <gradientFill>
          <stop position="0">
            <color rgb="FFFF0000"/>
          </stop>
          <stop position="1">
            <color rgb="FFC00000"/>
          </stop>
        </gradientFill>
      </fill>
    </dxf>
    <dxf>
      <font>
        <b/>
      </font>
      <fill>
        <patternFill patternType="solid">
          <fgColor auto="1"/>
          <bgColor rgb="FF33CC33"/>
        </patternFill>
      </fill>
    </dxf>
    <dxf>
      <fill>
        <gradientFill>
          <stop position="0">
            <color rgb="FF002060"/>
          </stop>
          <stop position="0.5">
            <color rgb="FF7030A0"/>
          </stop>
          <stop position="1">
            <color rgb="FF002060"/>
          </stop>
        </gradientFill>
      </fill>
    </dxf>
    <dxf>
      <font>
        <b/>
      </font>
      <fill>
        <gradientFill degree="45">
          <stop position="0">
            <color theme="6" tint="0.80001220740379042"/>
          </stop>
          <stop position="0.5">
            <color theme="6" tint="0.40000610370189521"/>
          </stop>
          <stop position="1">
            <color theme="6" tint="0.80001220740379042"/>
          </stop>
        </gradientFill>
      </fill>
    </dxf>
    <dxf>
      <font>
        <b/>
      </font>
      <fill>
        <gradientFill>
          <stop position="0">
            <color theme="7" tint="-0.25095370342112489"/>
          </stop>
          <stop position="0.5">
            <color theme="7" tint="0.59999389629810485"/>
          </stop>
          <stop position="1">
            <color theme="7" tint="-0.25095370342112489"/>
          </stop>
        </gradientFill>
      </fill>
    </dxf>
    <dxf>
      <font>
        <b/>
        <color theme="0"/>
      </font>
      <fill>
        <gradientFill degree="45">
          <stop position="0">
            <color rgb="FF002060"/>
          </stop>
          <stop position="0.5">
            <color theme="4"/>
          </stop>
          <stop position="1">
            <color rgb="FF002060"/>
          </stop>
        </gradientFill>
      </fill>
    </dxf>
    <dxf>
      <font>
        <b/>
        <color auto="1"/>
      </font>
      <fill>
        <gradientFill>
          <stop position="0">
            <color theme="4" tint="0.40000610370189521"/>
          </stop>
          <stop position="0.5">
            <color theme="4" tint="0.80001220740379042"/>
          </stop>
          <stop position="1">
            <color theme="4" tint="0.40000610370189521"/>
          </stop>
        </gradientFill>
      </fill>
    </dxf>
    <dxf>
      <font>
        <b/>
        <color auto="1"/>
      </font>
      <fill>
        <gradientFill>
          <stop position="0">
            <color theme="6" tint="0.40000610370189521"/>
          </stop>
          <stop position="0.5">
            <color theme="6" tint="0.80001220740379042"/>
          </stop>
          <stop position="1">
            <color theme="6" tint="0.40000610370189521"/>
          </stop>
        </gradientFill>
      </fill>
    </dxf>
    <dxf>
      <font>
        <b/>
        <color auto="1"/>
      </font>
      <fill>
        <gradientFill degree="45">
          <stop position="0">
            <color theme="7" tint="-0.49803155613879818"/>
          </stop>
          <stop position="0.5">
            <color theme="7" tint="-0.25095370342112489"/>
          </stop>
          <stop position="1">
            <color theme="7" tint="-0.49803155613879818"/>
          </stop>
        </gradientFill>
      </fill>
    </dxf>
    <dxf>
      <font>
        <b/>
        <color auto="1"/>
      </font>
      <fill>
        <gradientFill>
          <stop position="0">
            <color theme="8" tint="0.40000610370189521"/>
          </stop>
          <stop position="0.5">
            <color theme="8" tint="0.80001220740379042"/>
          </stop>
          <stop position="1">
            <color theme="8" tint="0.40000610370189521"/>
          </stop>
        </gradientFill>
      </fill>
    </dxf>
    <dxf>
      <font>
        <b/>
        <color theme="0"/>
      </font>
      <fill>
        <gradientFill>
          <stop position="0">
            <color rgb="FFFF0000"/>
          </stop>
          <stop position="1">
            <color rgb="FFC00000"/>
          </stop>
        </gradientFill>
      </fill>
    </dxf>
    <dxf>
      <font>
        <b/>
      </font>
      <fill>
        <gradientFill>
          <stop position="0">
            <color theme="9" tint="-0.25095370342112489"/>
          </stop>
          <stop position="0.5">
            <color rgb="FFBDF50B"/>
          </stop>
          <stop position="1">
            <color theme="9" tint="-0.25095370342112489"/>
          </stop>
        </gradientFill>
      </fill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bottom"/>
    </dxf>
    <dxf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bottom"/>
    </dxf>
    <dxf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rial"/>
      </font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FFA7A7A7"/>
      <color rgb="FF33CC33"/>
      <color rgb="FF66FF66"/>
      <color rgb="FF000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1439907</xdr:colOff>
      <xdr:row>0</xdr:row>
      <xdr:rowOff>38100</xdr:rowOff>
    </xdr:from>
    <xdr:to>
      <xdr:col>39</xdr:col>
      <xdr:colOff>492645</xdr:colOff>
      <xdr:row>4</xdr:row>
      <xdr:rowOff>109355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441657" y="38100"/>
          <a:ext cx="1291113" cy="76658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36</xdr:col>
      <xdr:colOff>127000</xdr:colOff>
      <xdr:row>0</xdr:row>
      <xdr:rowOff>10802</xdr:rowOff>
    </xdr:from>
    <xdr:to>
      <xdr:col>37</xdr:col>
      <xdr:colOff>1344084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B6F46CA-4E15-2084-EF40-AA1D880A2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07583" y="10802"/>
          <a:ext cx="1375834" cy="8800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131571</xdr:colOff>
      <xdr:row>0</xdr:row>
      <xdr:rowOff>74083</xdr:rowOff>
    </xdr:from>
    <xdr:to>
      <xdr:col>39</xdr:col>
      <xdr:colOff>328084</xdr:colOff>
      <xdr:row>6</xdr:row>
      <xdr:rowOff>148167</xdr:rowOff>
    </xdr:to>
    <xdr:pic>
      <xdr:nvPicPr>
        <xdr:cNvPr id="4" name="Imagen 3" descr="Texto&#10;&#10;Descripción generada automáticamente">
          <a:extLst>
            <a:ext uri="{FF2B5EF4-FFF2-40B4-BE49-F238E27FC236}">
              <a16:creationId xmlns:a16="http://schemas.microsoft.com/office/drawing/2014/main" id="{00100D4C-8146-39DB-F7C8-A4D51AB2E7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33454"/>
        <a:stretch/>
      </xdr:blipFill>
      <xdr:spPr bwMode="auto">
        <a:xfrm>
          <a:off x="16874404" y="74083"/>
          <a:ext cx="2387263" cy="1153584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BD" displayName="RBD" ref="G1:H92" totalsRowShown="0" headerRowDxfId="31" dataDxfId="30">
  <autoFilter ref="G1:H92" xr:uid="{00000000-0009-0000-0100-000001000000}"/>
  <tableColumns count="2">
    <tableColumn id="1" xr3:uid="{00000000-0010-0000-0000-000001000000}" name="RBD" dataDxfId="29"/>
    <tableColumn id="2" xr3:uid="{00000000-0010-0000-0000-000002000000}" name="NOMBRE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SEM" displayName="DSEM" ref="D1:E8" totalsRowShown="0" headerRowDxfId="27" dataDxfId="26">
  <autoFilter ref="D1:E8" xr:uid="{00000000-0009-0000-0100-000002000000}"/>
  <tableColumns count="2">
    <tableColumn id="1" xr3:uid="{00000000-0010-0000-0100-000001000000}" name="N°" dataDxfId="25"/>
    <tableColumn id="2" xr3:uid="{00000000-0010-0000-0100-000002000000}" name="DIA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ES" displayName="MES" ref="A1:B13" totalsRowShown="0" headerRowDxfId="23" dataDxfId="22">
  <autoFilter ref="A1:B13" xr:uid="{00000000-0009-0000-0100-000003000000}"/>
  <tableColumns count="2">
    <tableColumn id="1" xr3:uid="{00000000-0010-0000-0200-000001000000}" name="MES" dataDxfId="21"/>
    <tableColumn id="2" xr3:uid="{00000000-0010-0000-0200-000002000000}" name="N°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O74"/>
  <sheetViews>
    <sheetView showGridLines="0" zoomScale="90" zoomScaleNormal="90" workbookViewId="0">
      <selection activeCell="AM15" sqref="AM15"/>
    </sheetView>
  </sheetViews>
  <sheetFormatPr baseColWidth="10" defaultColWidth="0" defaultRowHeight="15" x14ac:dyDescent="0.25"/>
  <cols>
    <col min="1" max="1" width="1.140625" customWidth="1"/>
    <col min="2" max="2" width="11.42578125" customWidth="1"/>
    <col min="3" max="3" width="11.7109375" bestFit="1" customWidth="1"/>
    <col min="4" max="4" width="40.5703125" bestFit="1" customWidth="1"/>
    <col min="5" max="5" width="2" customWidth="1"/>
    <col min="6" max="36" width="4.5703125" customWidth="1"/>
    <col min="37" max="37" width="2.42578125" customWidth="1"/>
    <col min="38" max="38" width="22.140625" bestFit="1" customWidth="1"/>
    <col min="39" max="40" width="11.42578125" customWidth="1"/>
    <col min="41" max="41" width="4" hidden="1" customWidth="1"/>
    <col min="42" max="42" width="11.42578125" hidden="1" customWidth="1"/>
    <col min="43" max="16384" width="11.42578125" hidden="1"/>
  </cols>
  <sheetData>
    <row r="1" spans="2:39" ht="9.75" customHeight="1" x14ac:dyDescent="0.25"/>
    <row r="2" spans="2:39" x14ac:dyDescent="0.25">
      <c r="B2" s="2" t="s">
        <v>0</v>
      </c>
      <c r="C2" s="1">
        <v>2025</v>
      </c>
      <c r="D2" s="10">
        <f>+EOMONTH(F6,0)</f>
        <v>45777</v>
      </c>
      <c r="F2" s="43" t="str">
        <f>CONCATENATE("Registro de Asistencia","-",VLOOKUP(C4,RBD[],2,0))</f>
        <v>Registro de Asistencia-Jardin Infantil Akun Pichiwentxu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</row>
    <row r="3" spans="2:39" x14ac:dyDescent="0.25">
      <c r="B3" s="2" t="s">
        <v>1</v>
      </c>
      <c r="C3" s="1" t="s">
        <v>32</v>
      </c>
      <c r="D3" s="8">
        <f>VLOOKUP(C3,MES[],2,0)</f>
        <v>4</v>
      </c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</row>
    <row r="4" spans="2:39" x14ac:dyDescent="0.25">
      <c r="B4" s="2" t="s">
        <v>2</v>
      </c>
      <c r="C4" s="1">
        <v>13131015</v>
      </c>
      <c r="D4" s="8">
        <f>DAY(D2)</f>
        <v>30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</row>
    <row r="6" spans="2:39" s="8" customFormat="1" ht="45" hidden="1" x14ac:dyDescent="0.25">
      <c r="F6" s="9" t="str">
        <f>+F8&amp;"/"&amp;$D$3&amp;"/"&amp;$C$2</f>
        <v>1/4/2025</v>
      </c>
      <c r="G6" s="9" t="str">
        <f t="shared" ref="G6:AJ6" si="0">+G8&amp;"/"&amp;$D$3&amp;"/"&amp;$C$2</f>
        <v>2/4/2025</v>
      </c>
      <c r="H6" s="9" t="str">
        <f t="shared" si="0"/>
        <v>3/4/2025</v>
      </c>
      <c r="I6" s="9" t="str">
        <f t="shared" si="0"/>
        <v>4/4/2025</v>
      </c>
      <c r="J6" s="9" t="str">
        <f t="shared" si="0"/>
        <v>5/4/2025</v>
      </c>
      <c r="K6" s="9" t="str">
        <f t="shared" si="0"/>
        <v>6/4/2025</v>
      </c>
      <c r="L6" s="9" t="str">
        <f t="shared" si="0"/>
        <v>7/4/2025</v>
      </c>
      <c r="M6" s="9" t="str">
        <f t="shared" si="0"/>
        <v>8/4/2025</v>
      </c>
      <c r="N6" s="9" t="str">
        <f t="shared" si="0"/>
        <v>9/4/2025</v>
      </c>
      <c r="O6" s="9" t="str">
        <f t="shared" si="0"/>
        <v>10/4/2025</v>
      </c>
      <c r="P6" s="9" t="str">
        <f t="shared" si="0"/>
        <v>11/4/2025</v>
      </c>
      <c r="Q6" s="9" t="str">
        <f t="shared" si="0"/>
        <v>12/4/2025</v>
      </c>
      <c r="R6" s="9" t="str">
        <f t="shared" si="0"/>
        <v>13/4/2025</v>
      </c>
      <c r="S6" s="9" t="str">
        <f t="shared" si="0"/>
        <v>14/4/2025</v>
      </c>
      <c r="T6" s="9" t="str">
        <f t="shared" si="0"/>
        <v>15/4/2025</v>
      </c>
      <c r="U6" s="9" t="str">
        <f t="shared" si="0"/>
        <v>16/4/2025</v>
      </c>
      <c r="V6" s="9" t="str">
        <f t="shared" si="0"/>
        <v>17/4/2025</v>
      </c>
      <c r="W6" s="9" t="str">
        <f t="shared" si="0"/>
        <v>18/4/2025</v>
      </c>
      <c r="X6" s="9" t="str">
        <f t="shared" si="0"/>
        <v>19/4/2025</v>
      </c>
      <c r="Y6" s="9" t="str">
        <f t="shared" si="0"/>
        <v>20/4/2025</v>
      </c>
      <c r="Z6" s="9" t="str">
        <f t="shared" si="0"/>
        <v>21/4/2025</v>
      </c>
      <c r="AA6" s="9" t="str">
        <f t="shared" si="0"/>
        <v>22/4/2025</v>
      </c>
      <c r="AB6" s="9" t="str">
        <f t="shared" si="0"/>
        <v>23/4/2025</v>
      </c>
      <c r="AC6" s="9" t="str">
        <f t="shared" si="0"/>
        <v>24/4/2025</v>
      </c>
      <c r="AD6" s="9" t="str">
        <f t="shared" si="0"/>
        <v>25/4/2025</v>
      </c>
      <c r="AE6" s="9" t="str">
        <f t="shared" si="0"/>
        <v>26/4/2025</v>
      </c>
      <c r="AF6" s="9" t="str">
        <f t="shared" si="0"/>
        <v>27/4/2025</v>
      </c>
      <c r="AG6" s="9" t="str">
        <f t="shared" si="0"/>
        <v>28/4/2025</v>
      </c>
      <c r="AH6" s="9" t="str">
        <f t="shared" si="0"/>
        <v>29/4/2025</v>
      </c>
      <c r="AI6" s="9" t="str">
        <f t="shared" si="0"/>
        <v>30/4/2025</v>
      </c>
      <c r="AJ6" s="9" t="str">
        <f t="shared" si="0"/>
        <v>/4/2025</v>
      </c>
    </row>
    <row r="7" spans="2:39" x14ac:dyDescent="0.25">
      <c r="F7" s="11" t="str">
        <f>+IFERROR(VLOOKUP(WEEKDAY(F6,2),DSEM[],2,FALSE),"")</f>
        <v>M</v>
      </c>
      <c r="G7" s="11" t="str">
        <f>+IFERROR(VLOOKUP(WEEKDAY(G6,2),DSEM[],2,FALSE),"")</f>
        <v>M</v>
      </c>
      <c r="H7" s="11" t="str">
        <f>+IFERROR(VLOOKUP(WEEKDAY(H6,2),DSEM[],2,FALSE),"")</f>
        <v>J</v>
      </c>
      <c r="I7" s="11" t="str">
        <f>+IFERROR(VLOOKUP(WEEKDAY(I6,2),DSEM[],2,FALSE),"")</f>
        <v>V</v>
      </c>
      <c r="J7" s="11" t="str">
        <f>+IFERROR(VLOOKUP(WEEKDAY(J6,2),DSEM[],2,FALSE),"")</f>
        <v>S</v>
      </c>
      <c r="K7" s="11" t="str">
        <f>+IFERROR(VLOOKUP(WEEKDAY(K6,2),DSEM[],2,FALSE),"")</f>
        <v>D</v>
      </c>
      <c r="L7" s="11" t="str">
        <f>+IFERROR(VLOOKUP(WEEKDAY(L6,2),DSEM[],2,FALSE),"")</f>
        <v>L</v>
      </c>
      <c r="M7" s="11" t="str">
        <f>+IFERROR(VLOOKUP(WEEKDAY(M6,2),DSEM[],2,FALSE),"")</f>
        <v>M</v>
      </c>
      <c r="N7" s="11" t="str">
        <f>+IFERROR(VLOOKUP(WEEKDAY(N6,2),DSEM[],2,FALSE),"")</f>
        <v>M</v>
      </c>
      <c r="O7" s="11" t="str">
        <f>+IFERROR(VLOOKUP(WEEKDAY(O6,2),DSEM[],2,FALSE),"")</f>
        <v>J</v>
      </c>
      <c r="P7" s="11" t="str">
        <f>+IFERROR(VLOOKUP(WEEKDAY(P6,2),DSEM[],2,FALSE),"")</f>
        <v>V</v>
      </c>
      <c r="Q7" s="11" t="str">
        <f>+IFERROR(VLOOKUP(WEEKDAY(Q6,2),DSEM[],2,FALSE),"")</f>
        <v>S</v>
      </c>
      <c r="R7" s="11" t="str">
        <f>+IFERROR(VLOOKUP(WEEKDAY(R6,2),DSEM[],2,FALSE),"")</f>
        <v>D</v>
      </c>
      <c r="S7" s="11" t="str">
        <f>+IFERROR(VLOOKUP(WEEKDAY(S6,2),DSEM[],2,FALSE),"")</f>
        <v>L</v>
      </c>
      <c r="T7" s="11" t="str">
        <f>+IFERROR(VLOOKUP(WEEKDAY(T6,2),DSEM[],2,FALSE),"")</f>
        <v>M</v>
      </c>
      <c r="U7" s="11" t="str">
        <f>+IFERROR(VLOOKUP(WEEKDAY(U6,2),DSEM[],2,FALSE),"")</f>
        <v>M</v>
      </c>
      <c r="V7" s="11" t="str">
        <f>+IFERROR(VLOOKUP(WEEKDAY(V6,2),DSEM[],2,FALSE),"")</f>
        <v>J</v>
      </c>
      <c r="W7" s="11" t="str">
        <f>+IFERROR(VLOOKUP(WEEKDAY(W6,2),DSEM[],2,FALSE),"")</f>
        <v>V</v>
      </c>
      <c r="X7" s="11" t="str">
        <f>+IFERROR(VLOOKUP(WEEKDAY(X6,2),DSEM[],2,FALSE),"")</f>
        <v>S</v>
      </c>
      <c r="Y7" s="11" t="str">
        <f>+IFERROR(VLOOKUP(WEEKDAY(Y6,2),DSEM[],2,FALSE),"")</f>
        <v>D</v>
      </c>
      <c r="Z7" s="11" t="str">
        <f>+IFERROR(VLOOKUP(WEEKDAY(Z6,2),DSEM[],2,FALSE),"")</f>
        <v>L</v>
      </c>
      <c r="AA7" s="11" t="str">
        <f>+IFERROR(VLOOKUP(WEEKDAY(AA6,2),DSEM[],2,FALSE),"")</f>
        <v>M</v>
      </c>
      <c r="AB7" s="11" t="str">
        <f>+IFERROR(VLOOKUP(WEEKDAY(AB6,2),DSEM[],2,FALSE),"")</f>
        <v>M</v>
      </c>
      <c r="AC7" s="11" t="str">
        <f>+IFERROR(VLOOKUP(WEEKDAY(AC6,2),DSEM[],2,FALSE),"")</f>
        <v>J</v>
      </c>
      <c r="AD7" s="11" t="str">
        <f>+IFERROR(VLOOKUP(WEEKDAY(AD6,2),DSEM[],2,FALSE),"")</f>
        <v>V</v>
      </c>
      <c r="AE7" s="11" t="str">
        <f>+IFERROR(VLOOKUP(WEEKDAY(AE6,2),DSEM[],2,FALSE),"")</f>
        <v>S</v>
      </c>
      <c r="AF7" s="11" t="str">
        <f>+IFERROR(VLOOKUP(WEEKDAY(AF6,2),DSEM[],2,FALSE),"")</f>
        <v>D</v>
      </c>
      <c r="AG7" s="11" t="str">
        <f>+IFERROR(VLOOKUP(WEEKDAY(AG6,2),DSEM[],2,FALSE),"")</f>
        <v>L</v>
      </c>
      <c r="AH7" s="11" t="str">
        <f>+IFERROR(VLOOKUP(WEEKDAY(AH6,2),DSEM[],2,FALSE),"")</f>
        <v>M</v>
      </c>
      <c r="AI7" s="11" t="str">
        <f>+IFERROR(VLOOKUP(WEEKDAY(AI6,2),DSEM[],2,FALSE),"")</f>
        <v>M</v>
      </c>
      <c r="AJ7" s="11" t="str">
        <f>+IFERROR(VLOOKUP(WEEKDAY(AJ6,2),DSEM[],2,FALSE),"")</f>
        <v/>
      </c>
      <c r="AL7" s="13" t="s">
        <v>3</v>
      </c>
      <c r="AM7" s="1" t="s">
        <v>4</v>
      </c>
    </row>
    <row r="8" spans="2:39" x14ac:dyDescent="0.25">
      <c r="C8" s="1" t="s">
        <v>5</v>
      </c>
      <c r="D8" s="1" t="s">
        <v>6</v>
      </c>
      <c r="F8" s="12">
        <v>1</v>
      </c>
      <c r="G8" s="12">
        <f t="shared" ref="G8:AJ8" si="1">IF((F8+1)&lt;=$D$4,(F8+1),"")</f>
        <v>2</v>
      </c>
      <c r="H8" s="12">
        <f t="shared" si="1"/>
        <v>3</v>
      </c>
      <c r="I8" s="12">
        <f t="shared" si="1"/>
        <v>4</v>
      </c>
      <c r="J8" s="12">
        <f t="shared" si="1"/>
        <v>5</v>
      </c>
      <c r="K8" s="12">
        <f t="shared" si="1"/>
        <v>6</v>
      </c>
      <c r="L8" s="12">
        <f t="shared" si="1"/>
        <v>7</v>
      </c>
      <c r="M8" s="12">
        <f t="shared" si="1"/>
        <v>8</v>
      </c>
      <c r="N8" s="12">
        <f t="shared" si="1"/>
        <v>9</v>
      </c>
      <c r="O8" s="12">
        <f t="shared" si="1"/>
        <v>10</v>
      </c>
      <c r="P8" s="12">
        <f t="shared" si="1"/>
        <v>11</v>
      </c>
      <c r="Q8" s="12">
        <f t="shared" si="1"/>
        <v>12</v>
      </c>
      <c r="R8" s="12">
        <f t="shared" si="1"/>
        <v>13</v>
      </c>
      <c r="S8" s="12">
        <f t="shared" si="1"/>
        <v>14</v>
      </c>
      <c r="T8" s="12">
        <f t="shared" si="1"/>
        <v>15</v>
      </c>
      <c r="U8" s="12">
        <f t="shared" si="1"/>
        <v>16</v>
      </c>
      <c r="V8" s="12">
        <f t="shared" si="1"/>
        <v>17</v>
      </c>
      <c r="W8" s="12">
        <f t="shared" si="1"/>
        <v>18</v>
      </c>
      <c r="X8" s="12">
        <f t="shared" si="1"/>
        <v>19</v>
      </c>
      <c r="Y8" s="12">
        <f t="shared" si="1"/>
        <v>20</v>
      </c>
      <c r="Z8" s="12">
        <f t="shared" si="1"/>
        <v>21</v>
      </c>
      <c r="AA8" s="12">
        <f t="shared" si="1"/>
        <v>22</v>
      </c>
      <c r="AB8" s="12">
        <f t="shared" si="1"/>
        <v>23</v>
      </c>
      <c r="AC8" s="12">
        <f t="shared" si="1"/>
        <v>24</v>
      </c>
      <c r="AD8" s="12">
        <f t="shared" si="1"/>
        <v>25</v>
      </c>
      <c r="AE8" s="12">
        <f t="shared" si="1"/>
        <v>26</v>
      </c>
      <c r="AF8" s="12">
        <f t="shared" si="1"/>
        <v>27</v>
      </c>
      <c r="AG8" s="12">
        <f t="shared" si="1"/>
        <v>28</v>
      </c>
      <c r="AH8" s="12">
        <f t="shared" si="1"/>
        <v>29</v>
      </c>
      <c r="AI8" s="12">
        <f t="shared" si="1"/>
        <v>30</v>
      </c>
      <c r="AJ8" s="12" t="str">
        <f t="shared" si="1"/>
        <v/>
      </c>
      <c r="AL8" s="13" t="s">
        <v>7</v>
      </c>
      <c r="AM8" s="1" t="s">
        <v>8</v>
      </c>
    </row>
    <row r="9" spans="2:39" x14ac:dyDescent="0.25">
      <c r="C9" s="22" t="s">
        <v>138</v>
      </c>
      <c r="D9" s="23" t="s">
        <v>137</v>
      </c>
      <c r="F9" s="24" t="s">
        <v>4</v>
      </c>
      <c r="G9" s="24" t="s">
        <v>4</v>
      </c>
      <c r="H9" s="24" t="s">
        <v>4</v>
      </c>
      <c r="I9" s="24" t="s">
        <v>4</v>
      </c>
      <c r="J9" s="24" t="s">
        <v>9</v>
      </c>
      <c r="K9" s="24" t="s">
        <v>9</v>
      </c>
      <c r="L9" s="24" t="s">
        <v>4</v>
      </c>
      <c r="M9" s="24" t="s">
        <v>4</v>
      </c>
      <c r="N9" s="24" t="s">
        <v>4</v>
      </c>
      <c r="O9" s="24" t="s">
        <v>4</v>
      </c>
      <c r="P9" s="24" t="s">
        <v>4</v>
      </c>
      <c r="Q9" s="24" t="s">
        <v>9</v>
      </c>
      <c r="R9" s="24" t="s">
        <v>9</v>
      </c>
      <c r="S9" s="24" t="s">
        <v>4</v>
      </c>
      <c r="T9" s="24" t="s">
        <v>4</v>
      </c>
      <c r="U9" s="24" t="s">
        <v>4</v>
      </c>
      <c r="V9" s="24" t="s">
        <v>4</v>
      </c>
      <c r="W9" s="24" t="s">
        <v>4</v>
      </c>
      <c r="X9" s="24" t="s">
        <v>9</v>
      </c>
      <c r="Y9" s="24" t="s">
        <v>9</v>
      </c>
      <c r="Z9" s="24" t="s">
        <v>4</v>
      </c>
      <c r="AA9" s="24" t="s">
        <v>4</v>
      </c>
      <c r="AB9" s="24" t="s">
        <v>4</v>
      </c>
      <c r="AC9" s="24" t="s">
        <v>4</v>
      </c>
      <c r="AD9" s="24" t="s">
        <v>4</v>
      </c>
      <c r="AE9" s="24" t="s">
        <v>9</v>
      </c>
      <c r="AF9" s="24" t="s">
        <v>9</v>
      </c>
      <c r="AG9" s="24" t="s">
        <v>4</v>
      </c>
      <c r="AH9" s="24" t="s">
        <v>4</v>
      </c>
      <c r="AI9" s="24" t="s">
        <v>4</v>
      </c>
      <c r="AJ9" s="24"/>
      <c r="AL9" s="13" t="s">
        <v>10</v>
      </c>
      <c r="AM9" s="1" t="s">
        <v>11</v>
      </c>
    </row>
    <row r="10" spans="2:39" x14ac:dyDescent="0.25">
      <c r="C10" s="22"/>
      <c r="D10" s="23"/>
      <c r="F10" s="24" t="s">
        <v>4</v>
      </c>
      <c r="G10" s="24" t="s">
        <v>4</v>
      </c>
      <c r="H10" s="24" t="s">
        <v>4</v>
      </c>
      <c r="I10" s="24" t="s">
        <v>4</v>
      </c>
      <c r="J10" s="24" t="s">
        <v>9</v>
      </c>
      <c r="K10" s="24" t="s">
        <v>9</v>
      </c>
      <c r="L10" s="24" t="s">
        <v>4</v>
      </c>
      <c r="M10" s="24" t="s">
        <v>4</v>
      </c>
      <c r="N10" s="24" t="s">
        <v>4</v>
      </c>
      <c r="O10" s="24" t="s">
        <v>4</v>
      </c>
      <c r="P10" s="24" t="s">
        <v>4</v>
      </c>
      <c r="Q10" s="24" t="s">
        <v>9</v>
      </c>
      <c r="R10" s="24" t="s">
        <v>9</v>
      </c>
      <c r="S10" s="24" t="s">
        <v>4</v>
      </c>
      <c r="T10" s="24" t="s">
        <v>4</v>
      </c>
      <c r="U10" s="24" t="s">
        <v>4</v>
      </c>
      <c r="V10" s="24" t="s">
        <v>4</v>
      </c>
      <c r="W10" s="24" t="s">
        <v>4</v>
      </c>
      <c r="X10" s="24" t="s">
        <v>9</v>
      </c>
      <c r="Y10" s="24" t="s">
        <v>9</v>
      </c>
      <c r="Z10" s="24" t="s">
        <v>4</v>
      </c>
      <c r="AA10" s="24" t="s">
        <v>4</v>
      </c>
      <c r="AB10" s="24" t="s">
        <v>4</v>
      </c>
      <c r="AC10" s="24" t="s">
        <v>4</v>
      </c>
      <c r="AD10" s="24" t="s">
        <v>4</v>
      </c>
      <c r="AE10" s="24" t="s">
        <v>9</v>
      </c>
      <c r="AF10" s="24" t="s">
        <v>9</v>
      </c>
      <c r="AG10" s="24" t="s">
        <v>4</v>
      </c>
      <c r="AH10" s="24" t="s">
        <v>4</v>
      </c>
      <c r="AI10" s="24" t="s">
        <v>4</v>
      </c>
      <c r="AJ10" s="24"/>
      <c r="AL10" s="13" t="s">
        <v>12</v>
      </c>
      <c r="AM10" s="1" t="s">
        <v>13</v>
      </c>
    </row>
    <row r="11" spans="2:39" x14ac:dyDescent="0.25">
      <c r="C11" s="22"/>
      <c r="D11" s="23"/>
      <c r="F11" s="24" t="s">
        <v>4</v>
      </c>
      <c r="G11" s="24" t="s">
        <v>4</v>
      </c>
      <c r="H11" s="24" t="s">
        <v>4</v>
      </c>
      <c r="I11" s="24" t="s">
        <v>4</v>
      </c>
      <c r="J11" s="24" t="s">
        <v>9</v>
      </c>
      <c r="K11" s="24" t="s">
        <v>9</v>
      </c>
      <c r="L11" s="24" t="s">
        <v>4</v>
      </c>
      <c r="M11" s="24" t="s">
        <v>4</v>
      </c>
      <c r="N11" s="24" t="s">
        <v>4</v>
      </c>
      <c r="O11" s="24" t="s">
        <v>4</v>
      </c>
      <c r="P11" s="24" t="s">
        <v>4</v>
      </c>
      <c r="Q11" s="24" t="s">
        <v>9</v>
      </c>
      <c r="R11" s="24" t="s">
        <v>9</v>
      </c>
      <c r="S11" s="24" t="s">
        <v>4</v>
      </c>
      <c r="T11" s="24" t="s">
        <v>4</v>
      </c>
      <c r="U11" s="24" t="s">
        <v>4</v>
      </c>
      <c r="V11" s="24" t="s">
        <v>4</v>
      </c>
      <c r="W11" s="24" t="s">
        <v>4</v>
      </c>
      <c r="X11" s="24" t="s">
        <v>9</v>
      </c>
      <c r="Y11" s="24" t="s">
        <v>9</v>
      </c>
      <c r="Z11" s="24" t="s">
        <v>4</v>
      </c>
      <c r="AA11" s="24" t="s">
        <v>4</v>
      </c>
      <c r="AB11" s="24" t="s">
        <v>4</v>
      </c>
      <c r="AC11" s="24" t="s">
        <v>4</v>
      </c>
      <c r="AD11" s="24" t="s">
        <v>4</v>
      </c>
      <c r="AE11" s="24" t="s">
        <v>9</v>
      </c>
      <c r="AF11" s="24" t="s">
        <v>9</v>
      </c>
      <c r="AG11" s="24" t="s">
        <v>4</v>
      </c>
      <c r="AH11" s="24" t="s">
        <v>4</v>
      </c>
      <c r="AI11" s="24" t="s">
        <v>4</v>
      </c>
      <c r="AJ11" s="24"/>
      <c r="AL11" s="13" t="s">
        <v>14</v>
      </c>
      <c r="AM11" s="1" t="s">
        <v>15</v>
      </c>
    </row>
    <row r="12" spans="2:39" x14ac:dyDescent="0.25">
      <c r="C12" s="22"/>
      <c r="D12" s="23"/>
      <c r="F12" s="24" t="s">
        <v>4</v>
      </c>
      <c r="G12" s="24" t="s">
        <v>4</v>
      </c>
      <c r="H12" s="24" t="s">
        <v>4</v>
      </c>
      <c r="I12" s="24" t="s">
        <v>4</v>
      </c>
      <c r="J12" s="24" t="s">
        <v>9</v>
      </c>
      <c r="K12" s="24" t="s">
        <v>9</v>
      </c>
      <c r="L12" s="24" t="s">
        <v>4</v>
      </c>
      <c r="M12" s="24" t="s">
        <v>4</v>
      </c>
      <c r="N12" s="24" t="s">
        <v>4</v>
      </c>
      <c r="O12" s="24" t="s">
        <v>4</v>
      </c>
      <c r="P12" s="24" t="s">
        <v>4</v>
      </c>
      <c r="Q12" s="24" t="s">
        <v>9</v>
      </c>
      <c r="R12" s="24" t="s">
        <v>9</v>
      </c>
      <c r="S12" s="24" t="s">
        <v>4</v>
      </c>
      <c r="T12" s="24" t="s">
        <v>4</v>
      </c>
      <c r="U12" s="24" t="s">
        <v>4</v>
      </c>
      <c r="V12" s="24" t="s">
        <v>4</v>
      </c>
      <c r="W12" s="24" t="s">
        <v>4</v>
      </c>
      <c r="X12" s="24" t="s">
        <v>9</v>
      </c>
      <c r="Y12" s="24" t="s">
        <v>9</v>
      </c>
      <c r="Z12" s="24" t="s">
        <v>4</v>
      </c>
      <c r="AA12" s="24" t="s">
        <v>4</v>
      </c>
      <c r="AB12" s="24" t="s">
        <v>4</v>
      </c>
      <c r="AC12" s="24" t="s">
        <v>4</v>
      </c>
      <c r="AD12" s="24" t="s">
        <v>4</v>
      </c>
      <c r="AE12" s="24" t="s">
        <v>9</v>
      </c>
      <c r="AF12" s="24" t="s">
        <v>9</v>
      </c>
      <c r="AG12" s="24" t="s">
        <v>4</v>
      </c>
      <c r="AH12" s="24" t="s">
        <v>4</v>
      </c>
      <c r="AI12" s="24" t="s">
        <v>4</v>
      </c>
      <c r="AJ12" s="24"/>
      <c r="AL12" s="13" t="s">
        <v>16</v>
      </c>
      <c r="AM12" s="1" t="s">
        <v>17</v>
      </c>
    </row>
    <row r="13" spans="2:39" x14ac:dyDescent="0.25">
      <c r="C13" s="22"/>
      <c r="D13" s="23"/>
      <c r="F13" s="24" t="s">
        <v>4</v>
      </c>
      <c r="G13" s="24" t="s">
        <v>4</v>
      </c>
      <c r="H13" s="24" t="s">
        <v>4</v>
      </c>
      <c r="I13" s="24" t="s">
        <v>4</v>
      </c>
      <c r="J13" s="24" t="s">
        <v>9</v>
      </c>
      <c r="K13" s="24" t="s">
        <v>9</v>
      </c>
      <c r="L13" s="24" t="s">
        <v>4</v>
      </c>
      <c r="M13" s="24" t="s">
        <v>4</v>
      </c>
      <c r="N13" s="24" t="s">
        <v>4</v>
      </c>
      <c r="O13" s="24" t="s">
        <v>4</v>
      </c>
      <c r="P13" s="24" t="s">
        <v>4</v>
      </c>
      <c r="Q13" s="24" t="s">
        <v>9</v>
      </c>
      <c r="R13" s="24" t="s">
        <v>9</v>
      </c>
      <c r="S13" s="24" t="s">
        <v>4</v>
      </c>
      <c r="T13" s="24" t="s">
        <v>4</v>
      </c>
      <c r="U13" s="24" t="s">
        <v>4</v>
      </c>
      <c r="V13" s="24" t="s">
        <v>4</v>
      </c>
      <c r="W13" s="24" t="s">
        <v>4</v>
      </c>
      <c r="X13" s="24" t="s">
        <v>9</v>
      </c>
      <c r="Y13" s="24" t="s">
        <v>9</v>
      </c>
      <c r="Z13" s="24" t="s">
        <v>4</v>
      </c>
      <c r="AA13" s="24" t="s">
        <v>4</v>
      </c>
      <c r="AB13" s="24" t="s">
        <v>4</v>
      </c>
      <c r="AC13" s="24" t="s">
        <v>4</v>
      </c>
      <c r="AD13" s="24" t="s">
        <v>4</v>
      </c>
      <c r="AE13" s="24" t="s">
        <v>9</v>
      </c>
      <c r="AF13" s="24" t="s">
        <v>9</v>
      </c>
      <c r="AG13" s="24" t="s">
        <v>4</v>
      </c>
      <c r="AH13" s="24" t="s">
        <v>4</v>
      </c>
      <c r="AI13" s="24" t="s">
        <v>4</v>
      </c>
      <c r="AJ13" s="24"/>
      <c r="AL13" s="13" t="s">
        <v>18</v>
      </c>
      <c r="AM13" s="1" t="s">
        <v>9</v>
      </c>
    </row>
    <row r="14" spans="2:39" x14ac:dyDescent="0.25">
      <c r="C14" s="22"/>
      <c r="D14" s="23"/>
      <c r="F14" s="24" t="s">
        <v>4</v>
      </c>
      <c r="G14" s="24" t="s">
        <v>4</v>
      </c>
      <c r="H14" s="24" t="s">
        <v>4</v>
      </c>
      <c r="I14" s="24" t="s">
        <v>4</v>
      </c>
      <c r="J14" s="24" t="s">
        <v>9</v>
      </c>
      <c r="K14" s="24" t="s">
        <v>9</v>
      </c>
      <c r="L14" s="24" t="s">
        <v>4</v>
      </c>
      <c r="M14" s="24" t="s">
        <v>4</v>
      </c>
      <c r="N14" s="24" t="s">
        <v>4</v>
      </c>
      <c r="O14" s="24" t="s">
        <v>4</v>
      </c>
      <c r="P14" s="24" t="s">
        <v>4</v>
      </c>
      <c r="Q14" s="24" t="s">
        <v>9</v>
      </c>
      <c r="R14" s="24" t="s">
        <v>9</v>
      </c>
      <c r="S14" s="24" t="s">
        <v>4</v>
      </c>
      <c r="T14" s="24" t="s">
        <v>4</v>
      </c>
      <c r="U14" s="24" t="s">
        <v>4</v>
      </c>
      <c r="V14" s="24" t="s">
        <v>4</v>
      </c>
      <c r="W14" s="24" t="s">
        <v>4</v>
      </c>
      <c r="X14" s="24" t="s">
        <v>9</v>
      </c>
      <c r="Y14" s="24" t="s">
        <v>9</v>
      </c>
      <c r="Z14" s="24" t="s">
        <v>4</v>
      </c>
      <c r="AA14" s="24" t="s">
        <v>4</v>
      </c>
      <c r="AB14" s="24" t="s">
        <v>4</v>
      </c>
      <c r="AC14" s="24" t="s">
        <v>4</v>
      </c>
      <c r="AD14" s="24" t="s">
        <v>4</v>
      </c>
      <c r="AE14" s="24" t="s">
        <v>9</v>
      </c>
      <c r="AF14" s="24" t="s">
        <v>9</v>
      </c>
      <c r="AG14" s="24" t="s">
        <v>11</v>
      </c>
      <c r="AH14" s="24" t="s">
        <v>4</v>
      </c>
      <c r="AI14" s="24" t="s">
        <v>4</v>
      </c>
      <c r="AJ14" s="24"/>
      <c r="AL14" s="13" t="s">
        <v>19</v>
      </c>
      <c r="AM14" s="1" t="s">
        <v>20</v>
      </c>
    </row>
    <row r="15" spans="2:39" ht="15" customHeight="1" x14ac:dyDescent="0.25">
      <c r="C15" s="22"/>
      <c r="D15" s="23"/>
      <c r="F15" s="24" t="s">
        <v>4</v>
      </c>
      <c r="G15" s="24" t="s">
        <v>4</v>
      </c>
      <c r="H15" s="24" t="s">
        <v>4</v>
      </c>
      <c r="I15" s="24" t="s">
        <v>4</v>
      </c>
      <c r="J15" s="24" t="s">
        <v>9</v>
      </c>
      <c r="K15" s="24" t="s">
        <v>9</v>
      </c>
      <c r="L15" s="24" t="s">
        <v>4</v>
      </c>
      <c r="M15" s="24" t="s">
        <v>4</v>
      </c>
      <c r="N15" s="24" t="s">
        <v>4</v>
      </c>
      <c r="O15" s="24" t="s">
        <v>4</v>
      </c>
      <c r="P15" s="24" t="s">
        <v>4</v>
      </c>
      <c r="Q15" s="24" t="s">
        <v>9</v>
      </c>
      <c r="R15" s="24" t="s">
        <v>9</v>
      </c>
      <c r="S15" s="24" t="s">
        <v>4</v>
      </c>
      <c r="T15" s="24" t="s">
        <v>4</v>
      </c>
      <c r="U15" s="24" t="s">
        <v>4</v>
      </c>
      <c r="V15" s="24" t="s">
        <v>4</v>
      </c>
      <c r="W15" s="24" t="s">
        <v>4</v>
      </c>
      <c r="X15" s="24" t="s">
        <v>9</v>
      </c>
      <c r="Y15" s="24" t="s">
        <v>9</v>
      </c>
      <c r="Z15" s="24" t="s">
        <v>4</v>
      </c>
      <c r="AA15" s="24" t="s">
        <v>4</v>
      </c>
      <c r="AB15" s="24" t="s">
        <v>4</v>
      </c>
      <c r="AC15" s="24" t="s">
        <v>4</v>
      </c>
      <c r="AD15" s="24" t="s">
        <v>4</v>
      </c>
      <c r="AE15" s="24" t="s">
        <v>9</v>
      </c>
      <c r="AF15" s="24" t="s">
        <v>9</v>
      </c>
      <c r="AG15" s="24" t="s">
        <v>4</v>
      </c>
      <c r="AH15" s="24" t="s">
        <v>4</v>
      </c>
      <c r="AI15" s="24" t="s">
        <v>4</v>
      </c>
      <c r="AJ15" s="24"/>
      <c r="AL15" s="14" t="s">
        <v>21</v>
      </c>
      <c r="AM15" s="15" t="s">
        <v>22</v>
      </c>
    </row>
    <row r="16" spans="2:39" ht="15" customHeight="1" x14ac:dyDescent="0.25">
      <c r="C16" s="22"/>
      <c r="D16" s="23"/>
      <c r="F16" s="24" t="s">
        <v>4</v>
      </c>
      <c r="G16" s="24" t="s">
        <v>4</v>
      </c>
      <c r="H16" s="24" t="s">
        <v>4</v>
      </c>
      <c r="I16" s="24" t="s">
        <v>4</v>
      </c>
      <c r="J16" s="24" t="s">
        <v>9</v>
      </c>
      <c r="K16" s="24" t="s">
        <v>9</v>
      </c>
      <c r="L16" s="24" t="s">
        <v>4</v>
      </c>
      <c r="M16" s="24" t="s">
        <v>4</v>
      </c>
      <c r="N16" s="24" t="s">
        <v>4</v>
      </c>
      <c r="O16" s="24" t="s">
        <v>4</v>
      </c>
      <c r="P16" s="24" t="s">
        <v>4</v>
      </c>
      <c r="Q16" s="24" t="s">
        <v>9</v>
      </c>
      <c r="R16" s="24" t="s">
        <v>9</v>
      </c>
      <c r="S16" s="24" t="s">
        <v>4</v>
      </c>
      <c r="T16" s="24" t="s">
        <v>4</v>
      </c>
      <c r="U16" s="24" t="s">
        <v>4</v>
      </c>
      <c r="V16" s="24" t="s">
        <v>4</v>
      </c>
      <c r="W16" s="24" t="s">
        <v>4</v>
      </c>
      <c r="X16" s="24" t="s">
        <v>9</v>
      </c>
      <c r="Y16" s="24" t="s">
        <v>9</v>
      </c>
      <c r="Z16" s="24" t="s">
        <v>4</v>
      </c>
      <c r="AA16" s="24" t="s">
        <v>4</v>
      </c>
      <c r="AB16" s="24" t="s">
        <v>4</v>
      </c>
      <c r="AC16" s="24" t="s">
        <v>4</v>
      </c>
      <c r="AD16" s="24" t="s">
        <v>4</v>
      </c>
      <c r="AE16" s="24" t="s">
        <v>9</v>
      </c>
      <c r="AF16" s="24" t="s">
        <v>9</v>
      </c>
      <c r="AG16" s="24" t="s">
        <v>4</v>
      </c>
      <c r="AH16" s="24" t="s">
        <v>4</v>
      </c>
      <c r="AI16" s="24" t="s">
        <v>4</v>
      </c>
      <c r="AJ16" s="24"/>
    </row>
    <row r="17" spans="3:39" ht="15" customHeight="1" x14ac:dyDescent="0.25">
      <c r="C17" s="22"/>
      <c r="D17" s="23"/>
      <c r="F17" s="24" t="s">
        <v>4</v>
      </c>
      <c r="G17" s="24" t="s">
        <v>4</v>
      </c>
      <c r="H17" s="24" t="s">
        <v>4</v>
      </c>
      <c r="I17" s="24" t="s">
        <v>4</v>
      </c>
      <c r="J17" s="24" t="s">
        <v>9</v>
      </c>
      <c r="K17" s="24" t="s">
        <v>9</v>
      </c>
      <c r="L17" s="24" t="s">
        <v>4</v>
      </c>
      <c r="M17" s="24" t="s">
        <v>4</v>
      </c>
      <c r="N17" s="24" t="s">
        <v>4</v>
      </c>
      <c r="O17" s="24" t="s">
        <v>4</v>
      </c>
      <c r="P17" s="24" t="s">
        <v>4</v>
      </c>
      <c r="Q17" s="24" t="s">
        <v>9</v>
      </c>
      <c r="R17" s="24" t="s">
        <v>9</v>
      </c>
      <c r="S17" s="24" t="s">
        <v>4</v>
      </c>
      <c r="T17" s="24" t="s">
        <v>4</v>
      </c>
      <c r="U17" s="24" t="s">
        <v>4</v>
      </c>
      <c r="V17" s="24" t="s">
        <v>4</v>
      </c>
      <c r="W17" s="24" t="s">
        <v>4</v>
      </c>
      <c r="X17" s="24" t="s">
        <v>9</v>
      </c>
      <c r="Y17" s="24" t="s">
        <v>9</v>
      </c>
      <c r="Z17" s="24" t="s">
        <v>4</v>
      </c>
      <c r="AA17" s="24" t="s">
        <v>4</v>
      </c>
      <c r="AB17" s="24" t="s">
        <v>4</v>
      </c>
      <c r="AC17" s="24" t="s">
        <v>4</v>
      </c>
      <c r="AD17" s="24" t="s">
        <v>4</v>
      </c>
      <c r="AE17" s="24" t="s">
        <v>9</v>
      </c>
      <c r="AF17" s="24" t="s">
        <v>9</v>
      </c>
      <c r="AG17" s="24" t="s">
        <v>4</v>
      </c>
      <c r="AH17" s="24" t="s">
        <v>4</v>
      </c>
      <c r="AI17" s="24" t="s">
        <v>4</v>
      </c>
      <c r="AJ17" s="24"/>
      <c r="AL17" s="37" t="s">
        <v>23</v>
      </c>
      <c r="AM17" s="38"/>
    </row>
    <row r="18" spans="3:39" ht="15" customHeight="1" x14ac:dyDescent="0.25">
      <c r="C18" s="22"/>
      <c r="D18" s="23"/>
      <c r="F18" s="24" t="s">
        <v>20</v>
      </c>
      <c r="G18" s="24" t="s">
        <v>20</v>
      </c>
      <c r="H18" s="24" t="s">
        <v>20</v>
      </c>
      <c r="I18" s="24" t="s">
        <v>20</v>
      </c>
      <c r="J18" s="24" t="s">
        <v>9</v>
      </c>
      <c r="K18" s="24" t="s">
        <v>9</v>
      </c>
      <c r="L18" s="24" t="s">
        <v>20</v>
      </c>
      <c r="M18" s="24" t="s">
        <v>20</v>
      </c>
      <c r="N18" s="24" t="s">
        <v>20</v>
      </c>
      <c r="O18" s="24" t="s">
        <v>20</v>
      </c>
      <c r="P18" s="24" t="s">
        <v>20</v>
      </c>
      <c r="Q18" s="24" t="s">
        <v>9</v>
      </c>
      <c r="R18" s="24" t="s">
        <v>9</v>
      </c>
      <c r="S18" s="24" t="s">
        <v>20</v>
      </c>
      <c r="T18" s="24" t="s">
        <v>20</v>
      </c>
      <c r="U18" s="24" t="s">
        <v>20</v>
      </c>
      <c r="V18" s="24" t="s">
        <v>20</v>
      </c>
      <c r="W18" s="24" t="s">
        <v>20</v>
      </c>
      <c r="X18" s="24" t="s">
        <v>9</v>
      </c>
      <c r="Y18" s="24" t="s">
        <v>9</v>
      </c>
      <c r="Z18" s="24" t="s">
        <v>20</v>
      </c>
      <c r="AA18" s="24" t="s">
        <v>20</v>
      </c>
      <c r="AB18" s="24" t="s">
        <v>20</v>
      </c>
      <c r="AC18" s="24" t="s">
        <v>20</v>
      </c>
      <c r="AD18" s="24" t="s">
        <v>20</v>
      </c>
      <c r="AE18" s="24" t="s">
        <v>9</v>
      </c>
      <c r="AF18" s="24" t="s">
        <v>9</v>
      </c>
      <c r="AG18" s="24" t="s">
        <v>20</v>
      </c>
      <c r="AH18" s="24" t="s">
        <v>20</v>
      </c>
      <c r="AI18" s="24" t="s">
        <v>20</v>
      </c>
      <c r="AJ18" s="24"/>
      <c r="AL18" s="39"/>
      <c r="AM18" s="40"/>
    </row>
    <row r="19" spans="3:39" ht="15" customHeight="1" x14ac:dyDescent="0.25">
      <c r="C19" s="22"/>
      <c r="D19" s="23"/>
      <c r="F19" s="24" t="s">
        <v>15</v>
      </c>
      <c r="G19" s="24" t="s">
        <v>15</v>
      </c>
      <c r="H19" s="24" t="s">
        <v>15</v>
      </c>
      <c r="I19" s="24" t="s">
        <v>15</v>
      </c>
      <c r="J19" s="24" t="s">
        <v>9</v>
      </c>
      <c r="K19" s="24" t="s">
        <v>9</v>
      </c>
      <c r="L19" s="24" t="s">
        <v>15</v>
      </c>
      <c r="M19" s="24" t="s">
        <v>15</v>
      </c>
      <c r="N19" s="24" t="s">
        <v>15</v>
      </c>
      <c r="O19" s="24" t="s">
        <v>15</v>
      </c>
      <c r="P19" s="24" t="s">
        <v>15</v>
      </c>
      <c r="Q19" s="24" t="s">
        <v>9</v>
      </c>
      <c r="R19" s="24" t="s">
        <v>9</v>
      </c>
      <c r="S19" s="24" t="s">
        <v>15</v>
      </c>
      <c r="T19" s="24" t="s">
        <v>15</v>
      </c>
      <c r="U19" s="24" t="s">
        <v>15</v>
      </c>
      <c r="V19" s="24" t="s">
        <v>15</v>
      </c>
      <c r="W19" s="24" t="s">
        <v>15</v>
      </c>
      <c r="X19" s="24" t="s">
        <v>9</v>
      </c>
      <c r="Y19" s="24" t="s">
        <v>9</v>
      </c>
      <c r="Z19" s="24" t="s">
        <v>15</v>
      </c>
      <c r="AA19" s="24" t="s">
        <v>15</v>
      </c>
      <c r="AB19" s="24" t="s">
        <v>15</v>
      </c>
      <c r="AC19" s="24" t="s">
        <v>15</v>
      </c>
      <c r="AD19" s="24" t="s">
        <v>15</v>
      </c>
      <c r="AE19" s="24" t="s">
        <v>9</v>
      </c>
      <c r="AF19" s="24" t="s">
        <v>9</v>
      </c>
      <c r="AG19" s="24" t="s">
        <v>15</v>
      </c>
      <c r="AH19" s="24" t="s">
        <v>15</v>
      </c>
      <c r="AI19" s="24" t="s">
        <v>15</v>
      </c>
      <c r="AJ19" s="24"/>
      <c r="AL19" s="39"/>
      <c r="AM19" s="40"/>
    </row>
    <row r="20" spans="3:39" x14ac:dyDescent="0.25">
      <c r="C20" s="22"/>
      <c r="D20" s="23"/>
      <c r="F20" s="24" t="s">
        <v>20</v>
      </c>
      <c r="G20" s="24" t="s">
        <v>20</v>
      </c>
      <c r="H20" s="24" t="s">
        <v>20</v>
      </c>
      <c r="I20" s="24" t="s">
        <v>20</v>
      </c>
      <c r="J20" s="24" t="s">
        <v>9</v>
      </c>
      <c r="K20" s="24" t="s">
        <v>9</v>
      </c>
      <c r="L20" s="24" t="s">
        <v>20</v>
      </c>
      <c r="M20" s="24" t="s">
        <v>20</v>
      </c>
      <c r="N20" s="24" t="s">
        <v>20</v>
      </c>
      <c r="O20" s="24" t="s">
        <v>20</v>
      </c>
      <c r="P20" s="24" t="s">
        <v>20</v>
      </c>
      <c r="Q20" s="24" t="s">
        <v>9</v>
      </c>
      <c r="R20" s="24" t="s">
        <v>9</v>
      </c>
      <c r="S20" s="24" t="s">
        <v>20</v>
      </c>
      <c r="T20" s="24" t="s">
        <v>20</v>
      </c>
      <c r="U20" s="24" t="s">
        <v>20</v>
      </c>
      <c r="V20" s="24" t="s">
        <v>20</v>
      </c>
      <c r="W20" s="24" t="s">
        <v>20</v>
      </c>
      <c r="X20" s="24" t="s">
        <v>9</v>
      </c>
      <c r="Y20" s="24" t="s">
        <v>9</v>
      </c>
      <c r="Z20" s="24" t="s">
        <v>20</v>
      </c>
      <c r="AA20" s="24" t="s">
        <v>20</v>
      </c>
      <c r="AB20" s="24" t="s">
        <v>20</v>
      </c>
      <c r="AC20" s="24" t="s">
        <v>20</v>
      </c>
      <c r="AD20" s="24" t="s">
        <v>20</v>
      </c>
      <c r="AE20" s="24" t="s">
        <v>9</v>
      </c>
      <c r="AF20" s="24" t="s">
        <v>9</v>
      </c>
      <c r="AG20" s="24" t="s">
        <v>20</v>
      </c>
      <c r="AH20" s="24" t="s">
        <v>20</v>
      </c>
      <c r="AI20" s="24" t="s">
        <v>20</v>
      </c>
      <c r="AJ20" s="24"/>
      <c r="AL20" s="39"/>
      <c r="AM20" s="40"/>
    </row>
    <row r="21" spans="3:39" x14ac:dyDescent="0.25">
      <c r="C21" s="22"/>
      <c r="D21" s="23"/>
      <c r="F21" s="24" t="s">
        <v>4</v>
      </c>
      <c r="G21" s="24" t="s">
        <v>4</v>
      </c>
      <c r="H21" s="24" t="s">
        <v>4</v>
      </c>
      <c r="I21" s="24" t="s">
        <v>4</v>
      </c>
      <c r="J21" s="24" t="s">
        <v>9</v>
      </c>
      <c r="K21" s="24" t="s">
        <v>9</v>
      </c>
      <c r="L21" s="24" t="s">
        <v>4</v>
      </c>
      <c r="M21" s="24" t="s">
        <v>4</v>
      </c>
      <c r="N21" s="24" t="s">
        <v>4</v>
      </c>
      <c r="O21" s="24" t="s">
        <v>4</v>
      </c>
      <c r="P21" s="24" t="s">
        <v>4</v>
      </c>
      <c r="Q21" s="24" t="s">
        <v>9</v>
      </c>
      <c r="R21" s="24" t="s">
        <v>9</v>
      </c>
      <c r="S21" s="24" t="s">
        <v>4</v>
      </c>
      <c r="T21" s="24" t="s">
        <v>4</v>
      </c>
      <c r="U21" s="24" t="s">
        <v>4</v>
      </c>
      <c r="V21" s="24" t="s">
        <v>4</v>
      </c>
      <c r="W21" s="24" t="s">
        <v>4</v>
      </c>
      <c r="X21" s="24" t="s">
        <v>9</v>
      </c>
      <c r="Y21" s="24" t="s">
        <v>9</v>
      </c>
      <c r="Z21" s="24" t="s">
        <v>4</v>
      </c>
      <c r="AA21" s="24" t="s">
        <v>4</v>
      </c>
      <c r="AB21" s="24" t="s">
        <v>4</v>
      </c>
      <c r="AC21" s="24" t="s">
        <v>4</v>
      </c>
      <c r="AD21" s="24" t="s">
        <v>4</v>
      </c>
      <c r="AE21" s="24" t="s">
        <v>9</v>
      </c>
      <c r="AF21" s="24" t="s">
        <v>9</v>
      </c>
      <c r="AG21" s="24" t="s">
        <v>4</v>
      </c>
      <c r="AH21" s="24" t="s">
        <v>4</v>
      </c>
      <c r="AI21" s="24" t="s">
        <v>4</v>
      </c>
      <c r="AJ21" s="24"/>
      <c r="AL21" s="41"/>
      <c r="AM21" s="42"/>
    </row>
    <row r="22" spans="3:39" ht="15.75" customHeight="1" x14ac:dyDescent="0.25">
      <c r="C22" s="22"/>
      <c r="D22" s="23"/>
      <c r="F22" s="24" t="s">
        <v>20</v>
      </c>
      <c r="G22" s="24" t="s">
        <v>20</v>
      </c>
      <c r="H22" s="24" t="s">
        <v>20</v>
      </c>
      <c r="I22" s="24" t="s">
        <v>20</v>
      </c>
      <c r="J22" s="24" t="s">
        <v>9</v>
      </c>
      <c r="K22" s="24" t="s">
        <v>9</v>
      </c>
      <c r="L22" s="24" t="s">
        <v>20</v>
      </c>
      <c r="M22" s="24" t="s">
        <v>20</v>
      </c>
      <c r="N22" s="24" t="s">
        <v>20</v>
      </c>
      <c r="O22" s="24" t="s">
        <v>20</v>
      </c>
      <c r="P22" s="24" t="s">
        <v>20</v>
      </c>
      <c r="Q22" s="24" t="s">
        <v>9</v>
      </c>
      <c r="R22" s="24" t="s">
        <v>9</v>
      </c>
      <c r="S22" s="24" t="s">
        <v>20</v>
      </c>
      <c r="T22" s="24" t="s">
        <v>20</v>
      </c>
      <c r="U22" s="24" t="s">
        <v>20</v>
      </c>
      <c r="V22" s="24" t="s">
        <v>20</v>
      </c>
      <c r="W22" s="24" t="s">
        <v>20</v>
      </c>
      <c r="X22" s="24" t="s">
        <v>9</v>
      </c>
      <c r="Y22" s="24" t="s">
        <v>9</v>
      </c>
      <c r="Z22" s="24" t="s">
        <v>20</v>
      </c>
      <c r="AA22" s="24" t="s">
        <v>20</v>
      </c>
      <c r="AB22" s="24" t="s">
        <v>20</v>
      </c>
      <c r="AC22" s="24" t="s">
        <v>20</v>
      </c>
      <c r="AD22" s="24" t="s">
        <v>20</v>
      </c>
      <c r="AE22" s="24" t="s">
        <v>9</v>
      </c>
      <c r="AF22" s="24" t="s">
        <v>9</v>
      </c>
      <c r="AG22" s="24" t="s">
        <v>20</v>
      </c>
      <c r="AH22" s="24" t="s">
        <v>20</v>
      </c>
      <c r="AI22" s="24" t="s">
        <v>20</v>
      </c>
      <c r="AJ22" s="24"/>
      <c r="AL22" s="45"/>
      <c r="AM22" s="42"/>
    </row>
    <row r="23" spans="3:39" x14ac:dyDescent="0.25">
      <c r="C23" s="22"/>
      <c r="D23" s="23"/>
      <c r="F23" s="24" t="s">
        <v>20</v>
      </c>
      <c r="G23" s="24" t="s">
        <v>20</v>
      </c>
      <c r="H23" s="24" t="s">
        <v>20</v>
      </c>
      <c r="I23" s="24" t="s">
        <v>20</v>
      </c>
      <c r="J23" s="24" t="s">
        <v>9</v>
      </c>
      <c r="K23" s="24" t="s">
        <v>9</v>
      </c>
      <c r="L23" s="24" t="s">
        <v>20</v>
      </c>
      <c r="M23" s="24" t="s">
        <v>20</v>
      </c>
      <c r="N23" s="24" t="s">
        <v>20</v>
      </c>
      <c r="O23" s="24" t="s">
        <v>20</v>
      </c>
      <c r="P23" s="24" t="s">
        <v>20</v>
      </c>
      <c r="Q23" s="24" t="s">
        <v>9</v>
      </c>
      <c r="R23" s="24" t="s">
        <v>9</v>
      </c>
      <c r="S23" s="24" t="s">
        <v>20</v>
      </c>
      <c r="T23" s="24" t="s">
        <v>20</v>
      </c>
      <c r="U23" s="24" t="s">
        <v>20</v>
      </c>
      <c r="V23" s="24" t="s">
        <v>20</v>
      </c>
      <c r="W23" s="24" t="s">
        <v>20</v>
      </c>
      <c r="X23" s="24" t="s">
        <v>9</v>
      </c>
      <c r="Y23" s="24" t="s">
        <v>9</v>
      </c>
      <c r="Z23" s="24" t="s">
        <v>20</v>
      </c>
      <c r="AA23" s="24" t="s">
        <v>20</v>
      </c>
      <c r="AB23" s="24" t="s">
        <v>20</v>
      </c>
      <c r="AC23" s="24" t="s">
        <v>20</v>
      </c>
      <c r="AD23" s="24" t="s">
        <v>20</v>
      </c>
      <c r="AE23" s="24" t="s">
        <v>9</v>
      </c>
      <c r="AF23" s="24" t="s">
        <v>9</v>
      </c>
      <c r="AG23" s="24" t="s">
        <v>20</v>
      </c>
      <c r="AH23" s="24" t="s">
        <v>20</v>
      </c>
      <c r="AI23" s="24" t="s">
        <v>20</v>
      </c>
      <c r="AJ23" s="24"/>
    </row>
    <row r="24" spans="3:39" x14ac:dyDescent="0.25">
      <c r="C24" s="22"/>
      <c r="D24" s="23"/>
      <c r="F24" s="24" t="s">
        <v>4</v>
      </c>
      <c r="G24" s="24" t="s">
        <v>4</v>
      </c>
      <c r="H24" s="24" t="s">
        <v>4</v>
      </c>
      <c r="I24" s="24" t="s">
        <v>4</v>
      </c>
      <c r="J24" s="24" t="s">
        <v>9</v>
      </c>
      <c r="K24" s="24" t="s">
        <v>9</v>
      </c>
      <c r="L24" s="24" t="s">
        <v>4</v>
      </c>
      <c r="M24" s="24" t="s">
        <v>4</v>
      </c>
      <c r="N24" s="24" t="s">
        <v>4</v>
      </c>
      <c r="O24" s="24" t="s">
        <v>4</v>
      </c>
      <c r="P24" s="24" t="s">
        <v>4</v>
      </c>
      <c r="Q24" s="24" t="s">
        <v>9</v>
      </c>
      <c r="R24" s="24" t="s">
        <v>9</v>
      </c>
      <c r="S24" s="24" t="s">
        <v>4</v>
      </c>
      <c r="T24" s="24" t="s">
        <v>4</v>
      </c>
      <c r="U24" s="24" t="s">
        <v>4</v>
      </c>
      <c r="V24" s="24" t="s">
        <v>4</v>
      </c>
      <c r="W24" s="24" t="s">
        <v>4</v>
      </c>
      <c r="X24" s="24" t="s">
        <v>9</v>
      </c>
      <c r="Y24" s="24" t="s">
        <v>9</v>
      </c>
      <c r="Z24" s="24" t="s">
        <v>4</v>
      </c>
      <c r="AA24" s="24" t="s">
        <v>4</v>
      </c>
      <c r="AB24" s="24" t="s">
        <v>4</v>
      </c>
      <c r="AC24" s="24" t="s">
        <v>4</v>
      </c>
      <c r="AD24" s="24" t="s">
        <v>4</v>
      </c>
      <c r="AE24" s="24" t="s">
        <v>9</v>
      </c>
      <c r="AF24" s="24" t="s">
        <v>9</v>
      </c>
      <c r="AG24" s="24" t="s">
        <v>4</v>
      </c>
      <c r="AH24" s="24" t="s">
        <v>4</v>
      </c>
      <c r="AI24" s="24" t="s">
        <v>4</v>
      </c>
      <c r="AJ24" s="24"/>
    </row>
    <row r="25" spans="3:39" x14ac:dyDescent="0.25">
      <c r="C25" s="22"/>
      <c r="D25" s="23"/>
      <c r="F25" s="24" t="s">
        <v>4</v>
      </c>
      <c r="G25" s="24" t="s">
        <v>4</v>
      </c>
      <c r="H25" s="24" t="s">
        <v>4</v>
      </c>
      <c r="I25" s="24" t="s">
        <v>4</v>
      </c>
      <c r="J25" s="24" t="s">
        <v>9</v>
      </c>
      <c r="K25" s="24" t="s">
        <v>9</v>
      </c>
      <c r="L25" s="24" t="s">
        <v>4</v>
      </c>
      <c r="M25" s="24" t="s">
        <v>4</v>
      </c>
      <c r="N25" s="24" t="s">
        <v>4</v>
      </c>
      <c r="O25" s="24" t="s">
        <v>4</v>
      </c>
      <c r="P25" s="24" t="s">
        <v>4</v>
      </c>
      <c r="Q25" s="24" t="s">
        <v>9</v>
      </c>
      <c r="R25" s="24" t="s">
        <v>9</v>
      </c>
      <c r="S25" s="24" t="s">
        <v>4</v>
      </c>
      <c r="T25" s="24" t="s">
        <v>4</v>
      </c>
      <c r="U25" s="24" t="s">
        <v>4</v>
      </c>
      <c r="V25" s="24" t="s">
        <v>4</v>
      </c>
      <c r="W25" s="24" t="s">
        <v>4</v>
      </c>
      <c r="X25" s="24" t="s">
        <v>9</v>
      </c>
      <c r="Y25" s="24" t="s">
        <v>9</v>
      </c>
      <c r="Z25" s="24" t="s">
        <v>4</v>
      </c>
      <c r="AA25" s="24" t="s">
        <v>4</v>
      </c>
      <c r="AB25" s="24" t="s">
        <v>4</v>
      </c>
      <c r="AC25" s="24" t="s">
        <v>4</v>
      </c>
      <c r="AD25" s="24" t="s">
        <v>4</v>
      </c>
      <c r="AE25" s="24" t="s">
        <v>9</v>
      </c>
      <c r="AF25" s="24" t="s">
        <v>9</v>
      </c>
      <c r="AG25" s="24" t="s">
        <v>4</v>
      </c>
      <c r="AH25" s="24" t="s">
        <v>4</v>
      </c>
      <c r="AI25" s="24" t="s">
        <v>4</v>
      </c>
      <c r="AJ25" s="24"/>
    </row>
    <row r="26" spans="3:39" x14ac:dyDescent="0.25">
      <c r="C26" s="22"/>
      <c r="D26" s="23"/>
      <c r="F26" s="24" t="s">
        <v>4</v>
      </c>
      <c r="G26" s="24" t="s">
        <v>4</v>
      </c>
      <c r="H26" s="24" t="s">
        <v>4</v>
      </c>
      <c r="I26" s="24" t="s">
        <v>4</v>
      </c>
      <c r="J26" s="24" t="s">
        <v>9</v>
      </c>
      <c r="K26" s="24" t="s">
        <v>9</v>
      </c>
      <c r="L26" s="24" t="s">
        <v>4</v>
      </c>
      <c r="M26" s="24" t="s">
        <v>4</v>
      </c>
      <c r="N26" s="24" t="s">
        <v>4</v>
      </c>
      <c r="O26" s="24" t="s">
        <v>4</v>
      </c>
      <c r="P26" s="24" t="s">
        <v>4</v>
      </c>
      <c r="Q26" s="24" t="s">
        <v>9</v>
      </c>
      <c r="R26" s="24" t="s">
        <v>9</v>
      </c>
      <c r="S26" s="24" t="s">
        <v>4</v>
      </c>
      <c r="T26" s="24" t="s">
        <v>4</v>
      </c>
      <c r="U26" s="24" t="s">
        <v>4</v>
      </c>
      <c r="V26" s="24" t="s">
        <v>4</v>
      </c>
      <c r="W26" s="24" t="s">
        <v>4</v>
      </c>
      <c r="X26" s="24" t="s">
        <v>9</v>
      </c>
      <c r="Y26" s="24" t="s">
        <v>9</v>
      </c>
      <c r="Z26" s="24" t="s">
        <v>4</v>
      </c>
      <c r="AA26" s="24" t="s">
        <v>4</v>
      </c>
      <c r="AB26" s="24" t="s">
        <v>4</v>
      </c>
      <c r="AC26" s="24" t="s">
        <v>4</v>
      </c>
      <c r="AD26" s="24" t="s">
        <v>4</v>
      </c>
      <c r="AE26" s="24" t="s">
        <v>9</v>
      </c>
      <c r="AF26" s="24" t="s">
        <v>9</v>
      </c>
      <c r="AG26" s="24" t="s">
        <v>4</v>
      </c>
      <c r="AH26" s="24" t="s">
        <v>4</v>
      </c>
      <c r="AI26" s="24" t="s">
        <v>4</v>
      </c>
      <c r="AJ26" s="24"/>
    </row>
    <row r="27" spans="3:39" x14ac:dyDescent="0.25">
      <c r="C27" s="22"/>
      <c r="D27" s="23"/>
      <c r="F27" s="24" t="s">
        <v>4</v>
      </c>
      <c r="G27" s="24" t="s">
        <v>4</v>
      </c>
      <c r="H27" s="24" t="s">
        <v>4</v>
      </c>
      <c r="I27" s="24" t="s">
        <v>4</v>
      </c>
      <c r="J27" s="24" t="s">
        <v>9</v>
      </c>
      <c r="K27" s="24" t="s">
        <v>9</v>
      </c>
      <c r="L27" s="24" t="s">
        <v>4</v>
      </c>
      <c r="M27" s="24" t="s">
        <v>4</v>
      </c>
      <c r="N27" s="24" t="s">
        <v>4</v>
      </c>
      <c r="O27" s="24" t="s">
        <v>4</v>
      </c>
      <c r="P27" s="24" t="s">
        <v>4</v>
      </c>
      <c r="Q27" s="24" t="s">
        <v>9</v>
      </c>
      <c r="R27" s="24" t="s">
        <v>9</v>
      </c>
      <c r="S27" s="24" t="s">
        <v>4</v>
      </c>
      <c r="T27" s="24" t="s">
        <v>4</v>
      </c>
      <c r="U27" s="24" t="s">
        <v>4</v>
      </c>
      <c r="V27" s="24" t="s">
        <v>4</v>
      </c>
      <c r="W27" s="24" t="s">
        <v>4</v>
      </c>
      <c r="X27" s="24" t="s">
        <v>9</v>
      </c>
      <c r="Y27" s="24" t="s">
        <v>9</v>
      </c>
      <c r="Z27" s="24" t="s">
        <v>4</v>
      </c>
      <c r="AA27" s="24" t="s">
        <v>4</v>
      </c>
      <c r="AB27" s="24" t="s">
        <v>4</v>
      </c>
      <c r="AC27" s="24" t="s">
        <v>4</v>
      </c>
      <c r="AD27" s="24" t="s">
        <v>4</v>
      </c>
      <c r="AE27" s="24" t="s">
        <v>9</v>
      </c>
      <c r="AF27" s="24" t="s">
        <v>9</v>
      </c>
      <c r="AG27" s="24" t="s">
        <v>4</v>
      </c>
      <c r="AH27" s="24" t="s">
        <v>4</v>
      </c>
      <c r="AI27" s="24" t="s">
        <v>4</v>
      </c>
      <c r="AJ27" s="24"/>
    </row>
    <row r="28" spans="3:39" x14ac:dyDescent="0.25">
      <c r="C28" s="22"/>
      <c r="D28" s="23"/>
      <c r="F28" s="24" t="s">
        <v>4</v>
      </c>
      <c r="G28" s="24" t="s">
        <v>4</v>
      </c>
      <c r="H28" s="24" t="s">
        <v>4</v>
      </c>
      <c r="I28" s="24" t="s">
        <v>4</v>
      </c>
      <c r="J28" s="24" t="s">
        <v>9</v>
      </c>
      <c r="K28" s="24" t="s">
        <v>9</v>
      </c>
      <c r="L28" s="24" t="s">
        <v>4</v>
      </c>
      <c r="M28" s="24" t="s">
        <v>4</v>
      </c>
      <c r="N28" s="24" t="s">
        <v>4</v>
      </c>
      <c r="O28" s="24" t="s">
        <v>4</v>
      </c>
      <c r="P28" s="24" t="s">
        <v>4</v>
      </c>
      <c r="Q28" s="24" t="s">
        <v>9</v>
      </c>
      <c r="R28" s="24" t="s">
        <v>9</v>
      </c>
      <c r="S28" s="24" t="s">
        <v>4</v>
      </c>
      <c r="T28" s="24" t="s">
        <v>4</v>
      </c>
      <c r="U28" s="24" t="s">
        <v>4</v>
      </c>
      <c r="V28" s="24" t="s">
        <v>4</v>
      </c>
      <c r="W28" s="24" t="s">
        <v>4</v>
      </c>
      <c r="X28" s="24" t="s">
        <v>9</v>
      </c>
      <c r="Y28" s="24" t="s">
        <v>9</v>
      </c>
      <c r="Z28" s="24" t="s">
        <v>4</v>
      </c>
      <c r="AA28" s="24" t="s">
        <v>4</v>
      </c>
      <c r="AB28" s="24" t="s">
        <v>4</v>
      </c>
      <c r="AC28" s="24" t="s">
        <v>4</v>
      </c>
      <c r="AD28" s="24" t="s">
        <v>11</v>
      </c>
      <c r="AE28" s="24" t="s">
        <v>9</v>
      </c>
      <c r="AF28" s="24" t="s">
        <v>9</v>
      </c>
      <c r="AG28" s="24" t="s">
        <v>4</v>
      </c>
      <c r="AH28" s="24" t="s">
        <v>4</v>
      </c>
      <c r="AI28" s="24" t="s">
        <v>4</v>
      </c>
      <c r="AJ28" s="24"/>
    </row>
    <row r="29" spans="3:39" x14ac:dyDescent="0.25">
      <c r="C29" s="22"/>
      <c r="D29" s="23"/>
      <c r="F29" s="24" t="s">
        <v>4</v>
      </c>
      <c r="G29" s="24" t="s">
        <v>4</v>
      </c>
      <c r="H29" s="24" t="s">
        <v>4</v>
      </c>
      <c r="I29" s="24" t="s">
        <v>4</v>
      </c>
      <c r="J29" s="24" t="s">
        <v>9</v>
      </c>
      <c r="K29" s="24" t="s">
        <v>9</v>
      </c>
      <c r="L29" s="24" t="s">
        <v>4</v>
      </c>
      <c r="M29" s="24" t="s">
        <v>4</v>
      </c>
      <c r="N29" s="24" t="s">
        <v>4</v>
      </c>
      <c r="O29" s="24" t="s">
        <v>4</v>
      </c>
      <c r="P29" s="24" t="s">
        <v>4</v>
      </c>
      <c r="Q29" s="24" t="s">
        <v>9</v>
      </c>
      <c r="R29" s="24" t="s">
        <v>9</v>
      </c>
      <c r="S29" s="24" t="s">
        <v>4</v>
      </c>
      <c r="T29" s="24" t="s">
        <v>4</v>
      </c>
      <c r="U29" s="24" t="s">
        <v>4</v>
      </c>
      <c r="V29" s="24" t="s">
        <v>4</v>
      </c>
      <c r="W29" s="24" t="s">
        <v>4</v>
      </c>
      <c r="X29" s="24" t="s">
        <v>9</v>
      </c>
      <c r="Y29" s="24" t="s">
        <v>9</v>
      </c>
      <c r="Z29" s="24" t="s">
        <v>4</v>
      </c>
      <c r="AA29" s="24" t="s">
        <v>4</v>
      </c>
      <c r="AB29" s="24" t="s">
        <v>4</v>
      </c>
      <c r="AC29" s="24" t="s">
        <v>4</v>
      </c>
      <c r="AD29" s="24" t="s">
        <v>4</v>
      </c>
      <c r="AE29" s="24" t="s">
        <v>9</v>
      </c>
      <c r="AF29" s="24" t="s">
        <v>9</v>
      </c>
      <c r="AG29" s="24" t="s">
        <v>4</v>
      </c>
      <c r="AH29" s="24" t="s">
        <v>4</v>
      </c>
      <c r="AI29" s="24" t="s">
        <v>4</v>
      </c>
      <c r="AJ29" s="24"/>
    </row>
    <row r="30" spans="3:39" x14ac:dyDescent="0.25">
      <c r="C30" s="22"/>
      <c r="D30" s="23"/>
      <c r="F30" s="24" t="s">
        <v>20</v>
      </c>
      <c r="G30" s="24" t="s">
        <v>20</v>
      </c>
      <c r="H30" s="24" t="s">
        <v>20</v>
      </c>
      <c r="I30" s="24" t="s">
        <v>20</v>
      </c>
      <c r="J30" s="24" t="s">
        <v>9</v>
      </c>
      <c r="K30" s="24" t="s">
        <v>9</v>
      </c>
      <c r="L30" s="24" t="s">
        <v>20</v>
      </c>
      <c r="M30" s="24" t="s">
        <v>20</v>
      </c>
      <c r="N30" s="24" t="s">
        <v>20</v>
      </c>
      <c r="O30" s="24" t="s">
        <v>20</v>
      </c>
      <c r="P30" s="24" t="s">
        <v>20</v>
      </c>
      <c r="Q30" s="24" t="s">
        <v>9</v>
      </c>
      <c r="R30" s="24" t="s">
        <v>9</v>
      </c>
      <c r="S30" s="24" t="s">
        <v>20</v>
      </c>
      <c r="T30" s="24" t="s">
        <v>20</v>
      </c>
      <c r="U30" s="24" t="s">
        <v>20</v>
      </c>
      <c r="V30" s="24" t="s">
        <v>20</v>
      </c>
      <c r="W30" s="24" t="s">
        <v>20</v>
      </c>
      <c r="X30" s="24" t="s">
        <v>9</v>
      </c>
      <c r="Y30" s="24" t="s">
        <v>9</v>
      </c>
      <c r="Z30" s="24" t="s">
        <v>20</v>
      </c>
      <c r="AA30" s="24" t="s">
        <v>20</v>
      </c>
      <c r="AB30" s="24" t="s">
        <v>20</v>
      </c>
      <c r="AC30" s="24" t="s">
        <v>20</v>
      </c>
      <c r="AD30" s="24" t="s">
        <v>20</v>
      </c>
      <c r="AE30" s="24" t="s">
        <v>9</v>
      </c>
      <c r="AF30" s="24" t="s">
        <v>9</v>
      </c>
      <c r="AG30" s="24" t="s">
        <v>20</v>
      </c>
      <c r="AH30" s="24" t="s">
        <v>20</v>
      </c>
      <c r="AI30" s="24" t="s">
        <v>20</v>
      </c>
      <c r="AJ30" s="24"/>
    </row>
    <row r="31" spans="3:39" x14ac:dyDescent="0.25">
      <c r="C31" s="22"/>
      <c r="D31" s="23"/>
      <c r="F31" s="24" t="s">
        <v>4</v>
      </c>
      <c r="G31" s="24" t="s">
        <v>4</v>
      </c>
      <c r="H31" s="24" t="s">
        <v>4</v>
      </c>
      <c r="I31" s="24" t="s">
        <v>4</v>
      </c>
      <c r="J31" s="24" t="s">
        <v>9</v>
      </c>
      <c r="K31" s="24" t="s">
        <v>9</v>
      </c>
      <c r="L31" s="24" t="s">
        <v>4</v>
      </c>
      <c r="M31" s="24" t="s">
        <v>4</v>
      </c>
      <c r="N31" s="24" t="s">
        <v>4</v>
      </c>
      <c r="O31" s="24" t="s">
        <v>4</v>
      </c>
      <c r="P31" s="24" t="s">
        <v>4</v>
      </c>
      <c r="Q31" s="24" t="s">
        <v>9</v>
      </c>
      <c r="R31" s="24" t="s">
        <v>9</v>
      </c>
      <c r="S31" s="24" t="s">
        <v>4</v>
      </c>
      <c r="T31" s="24" t="s">
        <v>4</v>
      </c>
      <c r="U31" s="24" t="s">
        <v>4</v>
      </c>
      <c r="V31" s="24" t="s">
        <v>4</v>
      </c>
      <c r="W31" s="24" t="s">
        <v>4</v>
      </c>
      <c r="X31" s="24" t="s">
        <v>9</v>
      </c>
      <c r="Y31" s="24" t="s">
        <v>9</v>
      </c>
      <c r="Z31" s="24" t="s">
        <v>4</v>
      </c>
      <c r="AA31" s="24" t="s">
        <v>4</v>
      </c>
      <c r="AB31" s="24" t="s">
        <v>4</v>
      </c>
      <c r="AC31" s="24" t="s">
        <v>4</v>
      </c>
      <c r="AD31" s="24" t="s">
        <v>4</v>
      </c>
      <c r="AE31" s="24" t="s">
        <v>9</v>
      </c>
      <c r="AF31" s="24" t="s">
        <v>9</v>
      </c>
      <c r="AG31" s="24" t="s">
        <v>4</v>
      </c>
      <c r="AH31" s="24" t="s">
        <v>4</v>
      </c>
      <c r="AI31" s="24" t="s">
        <v>4</v>
      </c>
      <c r="AJ31" s="24"/>
    </row>
    <row r="32" spans="3:39" x14ac:dyDescent="0.25">
      <c r="C32" s="22"/>
      <c r="D32" s="23"/>
      <c r="F32" s="24" t="s">
        <v>4</v>
      </c>
      <c r="G32" s="24" t="s">
        <v>4</v>
      </c>
      <c r="H32" s="24" t="s">
        <v>4</v>
      </c>
      <c r="I32" s="24" t="s">
        <v>4</v>
      </c>
      <c r="J32" s="24" t="s">
        <v>9</v>
      </c>
      <c r="K32" s="24" t="s">
        <v>9</v>
      </c>
      <c r="L32" s="24" t="s">
        <v>4</v>
      </c>
      <c r="M32" s="24" t="s">
        <v>4</v>
      </c>
      <c r="N32" s="24" t="s">
        <v>4</v>
      </c>
      <c r="O32" s="24" t="s">
        <v>4</v>
      </c>
      <c r="P32" s="24" t="s">
        <v>4</v>
      </c>
      <c r="Q32" s="24" t="s">
        <v>9</v>
      </c>
      <c r="R32" s="24" t="s">
        <v>9</v>
      </c>
      <c r="S32" s="24" t="s">
        <v>4</v>
      </c>
      <c r="T32" s="24" t="s">
        <v>4</v>
      </c>
      <c r="U32" s="24" t="s">
        <v>4</v>
      </c>
      <c r="V32" s="24" t="s">
        <v>4</v>
      </c>
      <c r="W32" s="24" t="s">
        <v>4</v>
      </c>
      <c r="X32" s="24" t="s">
        <v>9</v>
      </c>
      <c r="Y32" s="24" t="s">
        <v>9</v>
      </c>
      <c r="Z32" s="24" t="s">
        <v>4</v>
      </c>
      <c r="AA32" s="24" t="s">
        <v>4</v>
      </c>
      <c r="AB32" s="24" t="s">
        <v>4</v>
      </c>
      <c r="AC32" s="24" t="s">
        <v>4</v>
      </c>
      <c r="AD32" s="24" t="s">
        <v>4</v>
      </c>
      <c r="AE32" s="24" t="s">
        <v>9</v>
      </c>
      <c r="AF32" s="24" t="s">
        <v>9</v>
      </c>
      <c r="AG32" s="24" t="s">
        <v>4</v>
      </c>
      <c r="AH32" s="24" t="s">
        <v>4</v>
      </c>
      <c r="AI32" s="24" t="s">
        <v>4</v>
      </c>
      <c r="AJ32" s="24"/>
    </row>
    <row r="33" spans="3:36" x14ac:dyDescent="0.25">
      <c r="C33" s="22"/>
      <c r="D33" s="23"/>
      <c r="F33" s="24" t="s">
        <v>4</v>
      </c>
      <c r="G33" s="24" t="s">
        <v>4</v>
      </c>
      <c r="H33" s="24" t="s">
        <v>4</v>
      </c>
      <c r="I33" s="24" t="s">
        <v>4</v>
      </c>
      <c r="J33" s="24" t="s">
        <v>9</v>
      </c>
      <c r="K33" s="24" t="s">
        <v>9</v>
      </c>
      <c r="L33" s="24" t="s">
        <v>4</v>
      </c>
      <c r="M33" s="24" t="s">
        <v>4</v>
      </c>
      <c r="N33" s="24" t="s">
        <v>4</v>
      </c>
      <c r="O33" s="24" t="s">
        <v>4</v>
      </c>
      <c r="P33" s="24" t="s">
        <v>4</v>
      </c>
      <c r="Q33" s="24" t="s">
        <v>9</v>
      </c>
      <c r="R33" s="24" t="s">
        <v>9</v>
      </c>
      <c r="S33" s="24" t="s">
        <v>4</v>
      </c>
      <c r="T33" s="24" t="s">
        <v>4</v>
      </c>
      <c r="U33" s="24" t="s">
        <v>4</v>
      </c>
      <c r="V33" s="24" t="s">
        <v>4</v>
      </c>
      <c r="W33" s="24" t="s">
        <v>4</v>
      </c>
      <c r="X33" s="24" t="s">
        <v>9</v>
      </c>
      <c r="Y33" s="24" t="s">
        <v>9</v>
      </c>
      <c r="Z33" s="24" t="s">
        <v>4</v>
      </c>
      <c r="AA33" s="24" t="s">
        <v>4</v>
      </c>
      <c r="AB33" s="24" t="s">
        <v>4</v>
      </c>
      <c r="AC33" s="24" t="s">
        <v>4</v>
      </c>
      <c r="AD33" s="24" t="s">
        <v>4</v>
      </c>
      <c r="AE33" s="24" t="s">
        <v>9</v>
      </c>
      <c r="AF33" s="24" t="s">
        <v>9</v>
      </c>
      <c r="AG33" s="24" t="s">
        <v>4</v>
      </c>
      <c r="AH33" s="24" t="s">
        <v>4</v>
      </c>
      <c r="AI33" s="24" t="s">
        <v>4</v>
      </c>
      <c r="AJ33" s="24"/>
    </row>
    <row r="34" spans="3:36" x14ac:dyDescent="0.25">
      <c r="C34" s="22"/>
      <c r="D34" s="23"/>
      <c r="F34" s="24" t="s">
        <v>20</v>
      </c>
      <c r="G34" s="24" t="s">
        <v>20</v>
      </c>
      <c r="H34" s="24" t="s">
        <v>20</v>
      </c>
      <c r="I34" s="24" t="s">
        <v>20</v>
      </c>
      <c r="J34" s="24" t="s">
        <v>9</v>
      </c>
      <c r="K34" s="24" t="s">
        <v>9</v>
      </c>
      <c r="L34" s="24" t="s">
        <v>20</v>
      </c>
      <c r="M34" s="24" t="s">
        <v>20</v>
      </c>
      <c r="N34" s="24" t="s">
        <v>20</v>
      </c>
      <c r="O34" s="24" t="s">
        <v>20</v>
      </c>
      <c r="P34" s="24" t="s">
        <v>20</v>
      </c>
      <c r="Q34" s="24" t="s">
        <v>9</v>
      </c>
      <c r="R34" s="24" t="s">
        <v>9</v>
      </c>
      <c r="S34" s="24" t="s">
        <v>20</v>
      </c>
      <c r="T34" s="24" t="s">
        <v>20</v>
      </c>
      <c r="U34" s="24" t="s">
        <v>20</v>
      </c>
      <c r="V34" s="24" t="s">
        <v>20</v>
      </c>
      <c r="W34" s="24" t="s">
        <v>20</v>
      </c>
      <c r="X34" s="24" t="s">
        <v>9</v>
      </c>
      <c r="Y34" s="24" t="s">
        <v>9</v>
      </c>
      <c r="Z34" s="24" t="s">
        <v>20</v>
      </c>
      <c r="AA34" s="24" t="s">
        <v>20</v>
      </c>
      <c r="AB34" s="24" t="s">
        <v>20</v>
      </c>
      <c r="AC34" s="24" t="s">
        <v>20</v>
      </c>
      <c r="AD34" s="24" t="s">
        <v>20</v>
      </c>
      <c r="AE34" s="24" t="s">
        <v>9</v>
      </c>
      <c r="AF34" s="24" t="s">
        <v>9</v>
      </c>
      <c r="AG34" s="24" t="s">
        <v>20</v>
      </c>
      <c r="AH34" s="24" t="s">
        <v>20</v>
      </c>
      <c r="AI34" s="24" t="s">
        <v>20</v>
      </c>
      <c r="AJ34" s="24"/>
    </row>
    <row r="35" spans="3:36" x14ac:dyDescent="0.25">
      <c r="C35" s="22"/>
      <c r="D35" s="23"/>
      <c r="F35" s="24" t="s">
        <v>4</v>
      </c>
      <c r="G35" s="24" t="s">
        <v>4</v>
      </c>
      <c r="H35" s="24" t="s">
        <v>4</v>
      </c>
      <c r="I35" s="24" t="s">
        <v>4</v>
      </c>
      <c r="J35" s="24" t="s">
        <v>9</v>
      </c>
      <c r="K35" s="24" t="s">
        <v>9</v>
      </c>
      <c r="L35" s="24" t="s">
        <v>4</v>
      </c>
      <c r="M35" s="24" t="s">
        <v>4</v>
      </c>
      <c r="N35" s="24" t="s">
        <v>4</v>
      </c>
      <c r="O35" s="24" t="s">
        <v>4</v>
      </c>
      <c r="P35" s="24" t="s">
        <v>4</v>
      </c>
      <c r="Q35" s="24" t="s">
        <v>9</v>
      </c>
      <c r="R35" s="24" t="s">
        <v>9</v>
      </c>
      <c r="S35" s="24" t="s">
        <v>4</v>
      </c>
      <c r="T35" s="24" t="s">
        <v>4</v>
      </c>
      <c r="U35" s="24" t="s">
        <v>4</v>
      </c>
      <c r="V35" s="24" t="s">
        <v>4</v>
      </c>
      <c r="W35" s="24" t="s">
        <v>4</v>
      </c>
      <c r="X35" s="24" t="s">
        <v>9</v>
      </c>
      <c r="Y35" s="24" t="s">
        <v>9</v>
      </c>
      <c r="Z35" s="24" t="s">
        <v>4</v>
      </c>
      <c r="AA35" s="24" t="s">
        <v>4</v>
      </c>
      <c r="AB35" s="24" t="s">
        <v>4</v>
      </c>
      <c r="AC35" s="24" t="s">
        <v>4</v>
      </c>
      <c r="AD35" s="24" t="s">
        <v>4</v>
      </c>
      <c r="AE35" s="24" t="s">
        <v>9</v>
      </c>
      <c r="AF35" s="24" t="s">
        <v>9</v>
      </c>
      <c r="AG35" s="24" t="s">
        <v>4</v>
      </c>
      <c r="AH35" s="24" t="s">
        <v>4</v>
      </c>
      <c r="AI35" s="24" t="s">
        <v>4</v>
      </c>
      <c r="AJ35" s="24"/>
    </row>
    <row r="36" spans="3:36" x14ac:dyDescent="0.25">
      <c r="C36" s="22"/>
      <c r="D36" s="23"/>
      <c r="F36" s="24" t="s">
        <v>4</v>
      </c>
      <c r="G36" s="24" t="s">
        <v>4</v>
      </c>
      <c r="H36" s="24" t="s">
        <v>4</v>
      </c>
      <c r="I36" s="24" t="s">
        <v>4</v>
      </c>
      <c r="J36" s="24" t="s">
        <v>9</v>
      </c>
      <c r="K36" s="24" t="s">
        <v>9</v>
      </c>
      <c r="L36" s="24" t="s">
        <v>4</v>
      </c>
      <c r="M36" s="24" t="s">
        <v>4</v>
      </c>
      <c r="N36" s="24" t="s">
        <v>4</v>
      </c>
      <c r="O36" s="24" t="s">
        <v>4</v>
      </c>
      <c r="P36" s="24" t="s">
        <v>4</v>
      </c>
      <c r="Q36" s="24" t="s">
        <v>9</v>
      </c>
      <c r="R36" s="24" t="s">
        <v>9</v>
      </c>
      <c r="S36" s="24" t="s">
        <v>4</v>
      </c>
      <c r="T36" s="24" t="s">
        <v>4</v>
      </c>
      <c r="U36" s="24" t="s">
        <v>4</v>
      </c>
      <c r="V36" s="24" t="s">
        <v>4</v>
      </c>
      <c r="W36" s="24" t="s">
        <v>4</v>
      </c>
      <c r="X36" s="24" t="s">
        <v>9</v>
      </c>
      <c r="Y36" s="24" t="s">
        <v>9</v>
      </c>
      <c r="Z36" s="24" t="s">
        <v>4</v>
      </c>
      <c r="AA36" s="24" t="s">
        <v>4</v>
      </c>
      <c r="AB36" s="24" t="s">
        <v>4</v>
      </c>
      <c r="AC36" s="24" t="s">
        <v>4</v>
      </c>
      <c r="AD36" s="24" t="s">
        <v>4</v>
      </c>
      <c r="AE36" s="24" t="s">
        <v>9</v>
      </c>
      <c r="AF36" s="24" t="s">
        <v>9</v>
      </c>
      <c r="AG36" s="24" t="s">
        <v>4</v>
      </c>
      <c r="AH36" s="24" t="s">
        <v>4</v>
      </c>
      <c r="AI36" s="24" t="s">
        <v>4</v>
      </c>
      <c r="AJ36" s="24"/>
    </row>
    <row r="37" spans="3:36" x14ac:dyDescent="0.25">
      <c r="C37" s="22"/>
      <c r="D37" s="23"/>
      <c r="F37" s="24" t="s">
        <v>4</v>
      </c>
      <c r="G37" s="24" t="s">
        <v>4</v>
      </c>
      <c r="H37" s="24" t="s">
        <v>4</v>
      </c>
      <c r="I37" s="24" t="s">
        <v>4</v>
      </c>
      <c r="J37" s="24" t="s">
        <v>9</v>
      </c>
      <c r="K37" s="24" t="s">
        <v>9</v>
      </c>
      <c r="L37" s="24" t="s">
        <v>4</v>
      </c>
      <c r="M37" s="24" t="s">
        <v>4</v>
      </c>
      <c r="N37" s="24" t="s">
        <v>4</v>
      </c>
      <c r="O37" s="24" t="s">
        <v>4</v>
      </c>
      <c r="P37" s="24" t="s">
        <v>4</v>
      </c>
      <c r="Q37" s="24" t="s">
        <v>9</v>
      </c>
      <c r="R37" s="24" t="s">
        <v>9</v>
      </c>
      <c r="S37" s="24" t="s">
        <v>4</v>
      </c>
      <c r="T37" s="24" t="s">
        <v>4</v>
      </c>
      <c r="U37" s="24" t="s">
        <v>4</v>
      </c>
      <c r="V37" s="24" t="s">
        <v>4</v>
      </c>
      <c r="W37" s="24" t="s">
        <v>4</v>
      </c>
      <c r="X37" s="24" t="s">
        <v>9</v>
      </c>
      <c r="Y37" s="24" t="s">
        <v>9</v>
      </c>
      <c r="Z37" s="24" t="s">
        <v>4</v>
      </c>
      <c r="AA37" s="24" t="s">
        <v>4</v>
      </c>
      <c r="AB37" s="24" t="s">
        <v>4</v>
      </c>
      <c r="AC37" s="24" t="s">
        <v>4</v>
      </c>
      <c r="AD37" s="24" t="s">
        <v>4</v>
      </c>
      <c r="AE37" s="24" t="s">
        <v>9</v>
      </c>
      <c r="AF37" s="24" t="s">
        <v>9</v>
      </c>
      <c r="AG37" s="24" t="s">
        <v>4</v>
      </c>
      <c r="AH37" s="24" t="s">
        <v>4</v>
      </c>
      <c r="AI37" s="24" t="s">
        <v>4</v>
      </c>
      <c r="AJ37" s="24"/>
    </row>
    <row r="38" spans="3:36" x14ac:dyDescent="0.25">
      <c r="C38" s="22"/>
      <c r="D38" s="23"/>
      <c r="F38" s="24" t="s">
        <v>4</v>
      </c>
      <c r="G38" s="24" t="s">
        <v>4</v>
      </c>
      <c r="H38" s="24" t="s">
        <v>4</v>
      </c>
      <c r="I38" s="24" t="s">
        <v>4</v>
      </c>
      <c r="J38" s="24" t="s">
        <v>9</v>
      </c>
      <c r="K38" s="24" t="s">
        <v>9</v>
      </c>
      <c r="L38" s="24" t="s">
        <v>4</v>
      </c>
      <c r="M38" s="24" t="s">
        <v>4</v>
      </c>
      <c r="N38" s="24" t="s">
        <v>4</v>
      </c>
      <c r="O38" s="24" t="s">
        <v>4</v>
      </c>
      <c r="P38" s="24" t="s">
        <v>4</v>
      </c>
      <c r="Q38" s="24" t="s">
        <v>9</v>
      </c>
      <c r="R38" s="24" t="s">
        <v>9</v>
      </c>
      <c r="S38" s="24" t="s">
        <v>4</v>
      </c>
      <c r="T38" s="24" t="s">
        <v>4</v>
      </c>
      <c r="U38" s="24" t="s">
        <v>4</v>
      </c>
      <c r="V38" s="24" t="s">
        <v>4</v>
      </c>
      <c r="W38" s="24" t="s">
        <v>4</v>
      </c>
      <c r="X38" s="24" t="s">
        <v>9</v>
      </c>
      <c r="Y38" s="24" t="s">
        <v>9</v>
      </c>
      <c r="Z38" s="24" t="s">
        <v>4</v>
      </c>
      <c r="AA38" s="24" t="s">
        <v>4</v>
      </c>
      <c r="AB38" s="24" t="s">
        <v>4</v>
      </c>
      <c r="AC38" s="24" t="s">
        <v>4</v>
      </c>
      <c r="AD38" s="24" t="s">
        <v>4</v>
      </c>
      <c r="AE38" s="24" t="s">
        <v>9</v>
      </c>
      <c r="AF38" s="24" t="s">
        <v>9</v>
      </c>
      <c r="AG38" s="24" t="s">
        <v>4</v>
      </c>
      <c r="AH38" s="24" t="s">
        <v>4</v>
      </c>
      <c r="AI38" s="24" t="s">
        <v>4</v>
      </c>
      <c r="AJ38" s="24"/>
    </row>
    <row r="39" spans="3:36" x14ac:dyDescent="0.25">
      <c r="C39" s="22"/>
      <c r="D39" s="23"/>
      <c r="F39" s="24" t="s">
        <v>4</v>
      </c>
      <c r="G39" s="24" t="s">
        <v>4</v>
      </c>
      <c r="H39" s="24" t="s">
        <v>4</v>
      </c>
      <c r="I39" s="24" t="s">
        <v>4</v>
      </c>
      <c r="J39" s="24" t="s">
        <v>9</v>
      </c>
      <c r="K39" s="24" t="s">
        <v>9</v>
      </c>
      <c r="L39" s="24" t="s">
        <v>4</v>
      </c>
      <c r="M39" s="24" t="s">
        <v>4</v>
      </c>
      <c r="N39" s="24" t="s">
        <v>4</v>
      </c>
      <c r="O39" s="24" t="s">
        <v>4</v>
      </c>
      <c r="P39" s="24" t="s">
        <v>4</v>
      </c>
      <c r="Q39" s="24" t="s">
        <v>9</v>
      </c>
      <c r="R39" s="24" t="s">
        <v>9</v>
      </c>
      <c r="S39" s="24" t="s">
        <v>4</v>
      </c>
      <c r="T39" s="24" t="s">
        <v>4</v>
      </c>
      <c r="U39" s="24" t="s">
        <v>4</v>
      </c>
      <c r="V39" s="24" t="s">
        <v>4</v>
      </c>
      <c r="W39" s="24" t="s">
        <v>4</v>
      </c>
      <c r="X39" s="24" t="s">
        <v>9</v>
      </c>
      <c r="Y39" s="24" t="s">
        <v>9</v>
      </c>
      <c r="Z39" s="24" t="s">
        <v>4</v>
      </c>
      <c r="AA39" s="24" t="s">
        <v>4</v>
      </c>
      <c r="AB39" s="24" t="s">
        <v>4</v>
      </c>
      <c r="AC39" s="24" t="s">
        <v>4</v>
      </c>
      <c r="AD39" s="24" t="s">
        <v>4</v>
      </c>
      <c r="AE39" s="24" t="s">
        <v>9</v>
      </c>
      <c r="AF39" s="24" t="s">
        <v>9</v>
      </c>
      <c r="AG39" s="24" t="s">
        <v>4</v>
      </c>
      <c r="AH39" s="24" t="s">
        <v>4</v>
      </c>
      <c r="AI39" s="24" t="s">
        <v>4</v>
      </c>
      <c r="AJ39" s="24"/>
    </row>
    <row r="40" spans="3:36" x14ac:dyDescent="0.25">
      <c r="C40" s="22"/>
      <c r="D40" s="23"/>
      <c r="F40" s="24" t="s">
        <v>20</v>
      </c>
      <c r="G40" s="24" t="s">
        <v>20</v>
      </c>
      <c r="H40" s="24" t="s">
        <v>20</v>
      </c>
      <c r="I40" s="24" t="s">
        <v>20</v>
      </c>
      <c r="J40" s="24" t="s">
        <v>9</v>
      </c>
      <c r="K40" s="24" t="s">
        <v>9</v>
      </c>
      <c r="L40" s="24" t="s">
        <v>20</v>
      </c>
      <c r="M40" s="24" t="s">
        <v>20</v>
      </c>
      <c r="N40" s="24" t="s">
        <v>20</v>
      </c>
      <c r="O40" s="24" t="s">
        <v>20</v>
      </c>
      <c r="P40" s="24" t="s">
        <v>20</v>
      </c>
      <c r="Q40" s="24" t="s">
        <v>9</v>
      </c>
      <c r="R40" s="24" t="s">
        <v>9</v>
      </c>
      <c r="S40" s="24" t="s">
        <v>20</v>
      </c>
      <c r="T40" s="24" t="s">
        <v>20</v>
      </c>
      <c r="U40" s="24" t="s">
        <v>20</v>
      </c>
      <c r="V40" s="24" t="s">
        <v>20</v>
      </c>
      <c r="W40" s="24" t="s">
        <v>20</v>
      </c>
      <c r="X40" s="24" t="s">
        <v>9</v>
      </c>
      <c r="Y40" s="24" t="s">
        <v>9</v>
      </c>
      <c r="Z40" s="24" t="s">
        <v>20</v>
      </c>
      <c r="AA40" s="24" t="s">
        <v>20</v>
      </c>
      <c r="AB40" s="24" t="s">
        <v>20</v>
      </c>
      <c r="AC40" s="24" t="s">
        <v>20</v>
      </c>
      <c r="AD40" s="24" t="s">
        <v>20</v>
      </c>
      <c r="AE40" s="24" t="s">
        <v>9</v>
      </c>
      <c r="AF40" s="24" t="s">
        <v>9</v>
      </c>
      <c r="AG40" s="24" t="s">
        <v>20</v>
      </c>
      <c r="AH40" s="24" t="s">
        <v>20</v>
      </c>
      <c r="AI40" s="24" t="s">
        <v>20</v>
      </c>
      <c r="AJ40" s="24"/>
    </row>
    <row r="41" spans="3:36" x14ac:dyDescent="0.25">
      <c r="C41" s="22"/>
      <c r="D41" s="23"/>
      <c r="F41" s="24" t="s">
        <v>4</v>
      </c>
      <c r="G41" s="24" t="s">
        <v>4</v>
      </c>
      <c r="H41" s="24" t="s">
        <v>4</v>
      </c>
      <c r="I41" s="24" t="s">
        <v>4</v>
      </c>
      <c r="J41" s="24" t="s">
        <v>9</v>
      </c>
      <c r="K41" s="24" t="s">
        <v>9</v>
      </c>
      <c r="L41" s="24" t="s">
        <v>4</v>
      </c>
      <c r="M41" s="24" t="s">
        <v>4</v>
      </c>
      <c r="N41" s="24" t="s">
        <v>4</v>
      </c>
      <c r="O41" s="24" t="s">
        <v>4</v>
      </c>
      <c r="P41" s="24" t="s">
        <v>4</v>
      </c>
      <c r="Q41" s="24" t="s">
        <v>9</v>
      </c>
      <c r="R41" s="24" t="s">
        <v>9</v>
      </c>
      <c r="S41" s="24" t="s">
        <v>4</v>
      </c>
      <c r="T41" s="24" t="s">
        <v>4</v>
      </c>
      <c r="U41" s="24" t="s">
        <v>4</v>
      </c>
      <c r="V41" s="24" t="s">
        <v>4</v>
      </c>
      <c r="W41" s="24" t="s">
        <v>4</v>
      </c>
      <c r="X41" s="24" t="s">
        <v>9</v>
      </c>
      <c r="Y41" s="24" t="s">
        <v>9</v>
      </c>
      <c r="Z41" s="24" t="s">
        <v>4</v>
      </c>
      <c r="AA41" s="24" t="s">
        <v>4</v>
      </c>
      <c r="AB41" s="24" t="s">
        <v>4</v>
      </c>
      <c r="AC41" s="24" t="s">
        <v>4</v>
      </c>
      <c r="AD41" s="24" t="s">
        <v>4</v>
      </c>
      <c r="AE41" s="24" t="s">
        <v>9</v>
      </c>
      <c r="AF41" s="24" t="s">
        <v>9</v>
      </c>
      <c r="AG41" s="24" t="s">
        <v>4</v>
      </c>
      <c r="AH41" s="24" t="s">
        <v>4</v>
      </c>
      <c r="AI41" s="24" t="s">
        <v>4</v>
      </c>
      <c r="AJ41" s="24"/>
    </row>
    <row r="42" spans="3:36" x14ac:dyDescent="0.25">
      <c r="C42" s="22"/>
      <c r="D42" s="23"/>
      <c r="F42" s="24" t="s">
        <v>4</v>
      </c>
      <c r="G42" s="24" t="s">
        <v>4</v>
      </c>
      <c r="H42" s="24" t="s">
        <v>4</v>
      </c>
      <c r="I42" s="24" t="s">
        <v>4</v>
      </c>
      <c r="J42" s="24" t="s">
        <v>9</v>
      </c>
      <c r="K42" s="24" t="s">
        <v>9</v>
      </c>
      <c r="L42" s="24" t="s">
        <v>4</v>
      </c>
      <c r="M42" s="24" t="s">
        <v>4</v>
      </c>
      <c r="N42" s="24" t="s">
        <v>4</v>
      </c>
      <c r="O42" s="24" t="s">
        <v>4</v>
      </c>
      <c r="P42" s="24" t="s">
        <v>4</v>
      </c>
      <c r="Q42" s="24" t="s">
        <v>9</v>
      </c>
      <c r="R42" s="24" t="s">
        <v>9</v>
      </c>
      <c r="S42" s="24" t="s">
        <v>4</v>
      </c>
      <c r="T42" s="24" t="s">
        <v>4</v>
      </c>
      <c r="U42" s="24" t="s">
        <v>4</v>
      </c>
      <c r="V42" s="24" t="s">
        <v>4</v>
      </c>
      <c r="W42" s="24" t="s">
        <v>4</v>
      </c>
      <c r="X42" s="24" t="s">
        <v>9</v>
      </c>
      <c r="Y42" s="24" t="s">
        <v>9</v>
      </c>
      <c r="Z42" s="24" t="s">
        <v>4</v>
      </c>
      <c r="AA42" s="24" t="s">
        <v>4</v>
      </c>
      <c r="AB42" s="24" t="s">
        <v>4</v>
      </c>
      <c r="AC42" s="24" t="s">
        <v>4</v>
      </c>
      <c r="AD42" s="24" t="s">
        <v>4</v>
      </c>
      <c r="AE42" s="24" t="s">
        <v>9</v>
      </c>
      <c r="AF42" s="24" t="s">
        <v>9</v>
      </c>
      <c r="AG42" s="24" t="s">
        <v>4</v>
      </c>
      <c r="AH42" s="24" t="s">
        <v>4</v>
      </c>
      <c r="AI42" s="24" t="s">
        <v>4</v>
      </c>
      <c r="AJ42" s="24"/>
    </row>
    <row r="43" spans="3:36" x14ac:dyDescent="0.25">
      <c r="C43" s="22"/>
      <c r="D43" s="23"/>
      <c r="F43" s="24" t="s">
        <v>4</v>
      </c>
      <c r="G43" s="24" t="s">
        <v>4</v>
      </c>
      <c r="H43" s="24" t="s">
        <v>4</v>
      </c>
      <c r="I43" s="24" t="s">
        <v>4</v>
      </c>
      <c r="J43" s="24" t="s">
        <v>9</v>
      </c>
      <c r="K43" s="24" t="s">
        <v>9</v>
      </c>
      <c r="L43" s="24" t="s">
        <v>4</v>
      </c>
      <c r="M43" s="24" t="s">
        <v>4</v>
      </c>
      <c r="N43" s="24" t="s">
        <v>4</v>
      </c>
      <c r="O43" s="24" t="s">
        <v>4</v>
      </c>
      <c r="P43" s="24" t="s">
        <v>4</v>
      </c>
      <c r="Q43" s="24" t="s">
        <v>9</v>
      </c>
      <c r="R43" s="24" t="s">
        <v>9</v>
      </c>
      <c r="S43" s="24" t="s">
        <v>4</v>
      </c>
      <c r="T43" s="24" t="s">
        <v>4</v>
      </c>
      <c r="U43" s="24" t="s">
        <v>4</v>
      </c>
      <c r="V43" s="24" t="s">
        <v>4</v>
      </c>
      <c r="W43" s="24" t="s">
        <v>4</v>
      </c>
      <c r="X43" s="24" t="s">
        <v>9</v>
      </c>
      <c r="Y43" s="24" t="s">
        <v>9</v>
      </c>
      <c r="Z43" s="24" t="s">
        <v>4</v>
      </c>
      <c r="AA43" s="24" t="s">
        <v>4</v>
      </c>
      <c r="AB43" s="24" t="s">
        <v>4</v>
      </c>
      <c r="AC43" s="24" t="s">
        <v>4</v>
      </c>
      <c r="AD43" s="24" t="s">
        <v>20</v>
      </c>
      <c r="AE43" s="24" t="s">
        <v>9</v>
      </c>
      <c r="AF43" s="24" t="s">
        <v>9</v>
      </c>
      <c r="AG43" s="24" t="s">
        <v>20</v>
      </c>
      <c r="AH43" s="24" t="s">
        <v>4</v>
      </c>
      <c r="AI43" s="24" t="s">
        <v>4</v>
      </c>
      <c r="AJ43" s="24"/>
    </row>
    <row r="44" spans="3:36" x14ac:dyDescent="0.25">
      <c r="C44" s="22"/>
      <c r="D44" s="23"/>
      <c r="F44" s="24" t="s">
        <v>4</v>
      </c>
      <c r="G44" s="24" t="s">
        <v>4</v>
      </c>
      <c r="H44" s="24" t="s">
        <v>4</v>
      </c>
      <c r="I44" s="24" t="s">
        <v>4</v>
      </c>
      <c r="J44" s="24" t="s">
        <v>9</v>
      </c>
      <c r="K44" s="24" t="s">
        <v>9</v>
      </c>
      <c r="L44" s="24" t="s">
        <v>4</v>
      </c>
      <c r="M44" s="24" t="s">
        <v>4</v>
      </c>
      <c r="N44" s="24" t="s">
        <v>4</v>
      </c>
      <c r="O44" s="24" t="s">
        <v>4</v>
      </c>
      <c r="P44" s="24" t="s">
        <v>4</v>
      </c>
      <c r="Q44" s="24" t="s">
        <v>9</v>
      </c>
      <c r="R44" s="24" t="s">
        <v>9</v>
      </c>
      <c r="S44" s="24" t="s">
        <v>4</v>
      </c>
      <c r="T44" s="24" t="s">
        <v>4</v>
      </c>
      <c r="U44" s="24" t="s">
        <v>4</v>
      </c>
      <c r="V44" s="24" t="s">
        <v>4</v>
      </c>
      <c r="W44" s="24" t="s">
        <v>4</v>
      </c>
      <c r="X44" s="24" t="s">
        <v>9</v>
      </c>
      <c r="Y44" s="24" t="s">
        <v>9</v>
      </c>
      <c r="Z44" s="24" t="s">
        <v>4</v>
      </c>
      <c r="AA44" s="24" t="s">
        <v>4</v>
      </c>
      <c r="AB44" s="24" t="s">
        <v>4</v>
      </c>
      <c r="AC44" s="24" t="s">
        <v>4</v>
      </c>
      <c r="AD44" s="24" t="s">
        <v>4</v>
      </c>
      <c r="AE44" s="24" t="s">
        <v>9</v>
      </c>
      <c r="AF44" s="24" t="s">
        <v>9</v>
      </c>
      <c r="AG44" s="24" t="s">
        <v>4</v>
      </c>
      <c r="AH44" s="24" t="s">
        <v>4</v>
      </c>
      <c r="AI44" s="24" t="s">
        <v>4</v>
      </c>
      <c r="AJ44" s="24"/>
    </row>
    <row r="45" spans="3:36" x14ac:dyDescent="0.25">
      <c r="C45" s="22"/>
      <c r="D45" s="23"/>
      <c r="F45" s="24" t="s">
        <v>4</v>
      </c>
      <c r="G45" s="24" t="s">
        <v>4</v>
      </c>
      <c r="H45" s="24" t="s">
        <v>4</v>
      </c>
      <c r="I45" s="24" t="s">
        <v>4</v>
      </c>
      <c r="J45" s="24" t="s">
        <v>9</v>
      </c>
      <c r="K45" s="24" t="s">
        <v>9</v>
      </c>
      <c r="L45" s="24" t="s">
        <v>4</v>
      </c>
      <c r="M45" s="24" t="s">
        <v>4</v>
      </c>
      <c r="N45" s="24" t="s">
        <v>4</v>
      </c>
      <c r="O45" s="24" t="s">
        <v>4</v>
      </c>
      <c r="P45" s="24" t="s">
        <v>4</v>
      </c>
      <c r="Q45" s="24" t="s">
        <v>9</v>
      </c>
      <c r="R45" s="24" t="s">
        <v>9</v>
      </c>
      <c r="S45" s="24" t="s">
        <v>4</v>
      </c>
      <c r="T45" s="24" t="s">
        <v>4</v>
      </c>
      <c r="U45" s="24" t="s">
        <v>4</v>
      </c>
      <c r="V45" s="24" t="s">
        <v>4</v>
      </c>
      <c r="W45" s="24" t="s">
        <v>4</v>
      </c>
      <c r="X45" s="24" t="s">
        <v>9</v>
      </c>
      <c r="Y45" s="24" t="s">
        <v>9</v>
      </c>
      <c r="Z45" s="24" t="s">
        <v>4</v>
      </c>
      <c r="AA45" s="24" t="s">
        <v>4</v>
      </c>
      <c r="AB45" s="24" t="s">
        <v>4</v>
      </c>
      <c r="AC45" s="24" t="s">
        <v>4</v>
      </c>
      <c r="AD45" s="24" t="s">
        <v>4</v>
      </c>
      <c r="AE45" s="24" t="s">
        <v>9</v>
      </c>
      <c r="AF45" s="24" t="s">
        <v>9</v>
      </c>
      <c r="AG45" s="24" t="s">
        <v>4</v>
      </c>
      <c r="AH45" s="24" t="s">
        <v>4</v>
      </c>
      <c r="AI45" s="24" t="s">
        <v>4</v>
      </c>
      <c r="AJ45" s="24"/>
    </row>
    <row r="46" spans="3:36" x14ac:dyDescent="0.25">
      <c r="C46" s="22"/>
      <c r="D46" s="23"/>
      <c r="F46" s="24" t="s">
        <v>4</v>
      </c>
      <c r="G46" s="24" t="s">
        <v>4</v>
      </c>
      <c r="H46" s="24" t="s">
        <v>4</v>
      </c>
      <c r="I46" s="24" t="s">
        <v>4</v>
      </c>
      <c r="J46" s="24" t="s">
        <v>9</v>
      </c>
      <c r="K46" s="24" t="s">
        <v>9</v>
      </c>
      <c r="L46" s="24" t="s">
        <v>4</v>
      </c>
      <c r="M46" s="24" t="s">
        <v>4</v>
      </c>
      <c r="N46" s="24" t="s">
        <v>4</v>
      </c>
      <c r="O46" s="24" t="s">
        <v>4</v>
      </c>
      <c r="P46" s="24" t="s">
        <v>4</v>
      </c>
      <c r="Q46" s="24" t="s">
        <v>9</v>
      </c>
      <c r="R46" s="24" t="s">
        <v>9</v>
      </c>
      <c r="S46" s="24" t="s">
        <v>4</v>
      </c>
      <c r="T46" s="24" t="s">
        <v>4</v>
      </c>
      <c r="U46" s="24" t="s">
        <v>4</v>
      </c>
      <c r="V46" s="24" t="s">
        <v>4</v>
      </c>
      <c r="W46" s="24" t="s">
        <v>4</v>
      </c>
      <c r="X46" s="24" t="s">
        <v>9</v>
      </c>
      <c r="Y46" s="24" t="s">
        <v>9</v>
      </c>
      <c r="Z46" s="24" t="s">
        <v>4</v>
      </c>
      <c r="AA46" s="24" t="s">
        <v>4</v>
      </c>
      <c r="AB46" s="24" t="s">
        <v>4</v>
      </c>
      <c r="AC46" s="24" t="s">
        <v>4</v>
      </c>
      <c r="AD46" s="24" t="s">
        <v>4</v>
      </c>
      <c r="AE46" s="24" t="s">
        <v>9</v>
      </c>
      <c r="AF46" s="24" t="s">
        <v>9</v>
      </c>
      <c r="AG46" s="24" t="s">
        <v>4</v>
      </c>
      <c r="AH46" s="24" t="s">
        <v>4</v>
      </c>
      <c r="AI46" s="24" t="s">
        <v>4</v>
      </c>
      <c r="AJ46" s="24"/>
    </row>
    <row r="47" spans="3:36" x14ac:dyDescent="0.25">
      <c r="C47" s="22"/>
      <c r="D47" s="23"/>
      <c r="F47" s="24" t="s">
        <v>4</v>
      </c>
      <c r="G47" s="24" t="s">
        <v>4</v>
      </c>
      <c r="H47" s="24" t="s">
        <v>4</v>
      </c>
      <c r="I47" s="24" t="s">
        <v>4</v>
      </c>
      <c r="J47" s="24" t="s">
        <v>9</v>
      </c>
      <c r="K47" s="24" t="s">
        <v>9</v>
      </c>
      <c r="L47" s="24" t="s">
        <v>4</v>
      </c>
      <c r="M47" s="24" t="s">
        <v>4</v>
      </c>
      <c r="N47" s="24" t="s">
        <v>4</v>
      </c>
      <c r="O47" s="24" t="s">
        <v>4</v>
      </c>
      <c r="P47" s="24" t="s">
        <v>4</v>
      </c>
      <c r="Q47" s="24" t="s">
        <v>9</v>
      </c>
      <c r="R47" s="24" t="s">
        <v>9</v>
      </c>
      <c r="S47" s="24" t="s">
        <v>4</v>
      </c>
      <c r="T47" s="24" t="s">
        <v>4</v>
      </c>
      <c r="U47" s="24" t="s">
        <v>4</v>
      </c>
      <c r="V47" s="24" t="s">
        <v>4</v>
      </c>
      <c r="W47" s="24" t="s">
        <v>4</v>
      </c>
      <c r="X47" s="24" t="s">
        <v>9</v>
      </c>
      <c r="Y47" s="24" t="s">
        <v>9</v>
      </c>
      <c r="Z47" s="24" t="s">
        <v>11</v>
      </c>
      <c r="AA47" s="24" t="s">
        <v>4</v>
      </c>
      <c r="AB47" s="24" t="s">
        <v>4</v>
      </c>
      <c r="AC47" s="24" t="s">
        <v>4</v>
      </c>
      <c r="AD47" s="24" t="s">
        <v>4</v>
      </c>
      <c r="AE47" s="24" t="s">
        <v>9</v>
      </c>
      <c r="AF47" s="24" t="s">
        <v>9</v>
      </c>
      <c r="AG47" s="24" t="s">
        <v>4</v>
      </c>
      <c r="AH47" s="24" t="s">
        <v>4</v>
      </c>
      <c r="AI47" s="24" t="s">
        <v>4</v>
      </c>
      <c r="AJ47" s="24"/>
    </row>
    <row r="48" spans="3:36" x14ac:dyDescent="0.25">
      <c r="C48" s="22"/>
      <c r="D48" s="23"/>
      <c r="F48" s="24" t="s">
        <v>4</v>
      </c>
      <c r="G48" s="24" t="s">
        <v>4</v>
      </c>
      <c r="H48" s="24" t="s">
        <v>4</v>
      </c>
      <c r="I48" s="24" t="s">
        <v>4</v>
      </c>
      <c r="J48" s="24" t="s">
        <v>9</v>
      </c>
      <c r="K48" s="24" t="s">
        <v>9</v>
      </c>
      <c r="L48" s="24" t="s">
        <v>4</v>
      </c>
      <c r="M48" s="24" t="s">
        <v>4</v>
      </c>
      <c r="N48" s="24" t="s">
        <v>4</v>
      </c>
      <c r="O48" s="24" t="s">
        <v>4</v>
      </c>
      <c r="P48" s="24" t="s">
        <v>4</v>
      </c>
      <c r="Q48" s="24" t="s">
        <v>9</v>
      </c>
      <c r="R48" s="24" t="s">
        <v>9</v>
      </c>
      <c r="S48" s="24" t="s">
        <v>4</v>
      </c>
      <c r="T48" s="24" t="s">
        <v>4</v>
      </c>
      <c r="U48" s="24" t="s">
        <v>4</v>
      </c>
      <c r="V48" s="24" t="s">
        <v>4</v>
      </c>
      <c r="W48" s="24" t="s">
        <v>4</v>
      </c>
      <c r="X48" s="24" t="s">
        <v>9</v>
      </c>
      <c r="Y48" s="24" t="s">
        <v>9</v>
      </c>
      <c r="Z48" s="24" t="s">
        <v>4</v>
      </c>
      <c r="AA48" s="24" t="s">
        <v>4</v>
      </c>
      <c r="AB48" s="24" t="s">
        <v>4</v>
      </c>
      <c r="AC48" s="24" t="s">
        <v>4</v>
      </c>
      <c r="AD48" s="24" t="s">
        <v>4</v>
      </c>
      <c r="AE48" s="24" t="s">
        <v>9</v>
      </c>
      <c r="AF48" s="24" t="s">
        <v>9</v>
      </c>
      <c r="AG48" s="24" t="s">
        <v>4</v>
      </c>
      <c r="AH48" s="24" t="s">
        <v>4</v>
      </c>
      <c r="AI48" s="24" t="s">
        <v>4</v>
      </c>
      <c r="AJ48" s="24"/>
    </row>
    <row r="49" spans="3:36" x14ac:dyDescent="0.25">
      <c r="C49" s="22"/>
      <c r="D49" s="23"/>
      <c r="F49" s="24" t="s">
        <v>4</v>
      </c>
      <c r="G49" s="24" t="s">
        <v>4</v>
      </c>
      <c r="H49" s="24" t="s">
        <v>4</v>
      </c>
      <c r="I49" s="24" t="s">
        <v>4</v>
      </c>
      <c r="J49" s="24" t="s">
        <v>9</v>
      </c>
      <c r="K49" s="24" t="s">
        <v>9</v>
      </c>
      <c r="L49" s="24" t="s">
        <v>4</v>
      </c>
      <c r="M49" s="24" t="s">
        <v>4</v>
      </c>
      <c r="N49" s="24" t="s">
        <v>4</v>
      </c>
      <c r="O49" s="24" t="s">
        <v>4</v>
      </c>
      <c r="P49" s="24" t="s">
        <v>4</v>
      </c>
      <c r="Q49" s="24" t="s">
        <v>9</v>
      </c>
      <c r="R49" s="24" t="s">
        <v>9</v>
      </c>
      <c r="S49" s="24" t="s">
        <v>4</v>
      </c>
      <c r="T49" s="24" t="s">
        <v>4</v>
      </c>
      <c r="U49" s="24" t="s">
        <v>4</v>
      </c>
      <c r="V49" s="24" t="s">
        <v>4</v>
      </c>
      <c r="W49" s="24" t="s">
        <v>4</v>
      </c>
      <c r="X49" s="24" t="s">
        <v>9</v>
      </c>
      <c r="Y49" s="24" t="s">
        <v>9</v>
      </c>
      <c r="Z49" s="24" t="s">
        <v>4</v>
      </c>
      <c r="AA49" s="24" t="s">
        <v>4</v>
      </c>
      <c r="AB49" s="24" t="s">
        <v>4</v>
      </c>
      <c r="AC49" s="24" t="s">
        <v>4</v>
      </c>
      <c r="AD49" s="24" t="s">
        <v>4</v>
      </c>
      <c r="AE49" s="24" t="s">
        <v>9</v>
      </c>
      <c r="AF49" s="24" t="s">
        <v>9</v>
      </c>
      <c r="AG49" s="24" t="s">
        <v>4</v>
      </c>
      <c r="AH49" s="24" t="s">
        <v>4</v>
      </c>
      <c r="AI49" s="24" t="s">
        <v>4</v>
      </c>
      <c r="AJ49" s="24"/>
    </row>
    <row r="50" spans="3:36" x14ac:dyDescent="0.25">
      <c r="C50" s="22"/>
      <c r="D50" s="23"/>
      <c r="F50" s="24" t="s">
        <v>15</v>
      </c>
      <c r="G50" s="24" t="s">
        <v>15</v>
      </c>
      <c r="H50" s="24" t="s">
        <v>15</v>
      </c>
      <c r="I50" s="24" t="s">
        <v>15</v>
      </c>
      <c r="J50" s="24" t="s">
        <v>9</v>
      </c>
      <c r="K50" s="24" t="s">
        <v>9</v>
      </c>
      <c r="L50" s="24" t="s">
        <v>15</v>
      </c>
      <c r="M50" s="24" t="s">
        <v>15</v>
      </c>
      <c r="N50" s="24" t="s">
        <v>15</v>
      </c>
      <c r="O50" s="24" t="s">
        <v>15</v>
      </c>
      <c r="P50" s="24" t="s">
        <v>15</v>
      </c>
      <c r="Q50" s="24" t="s">
        <v>9</v>
      </c>
      <c r="R50" s="24" t="s">
        <v>9</v>
      </c>
      <c r="S50" s="24" t="s">
        <v>15</v>
      </c>
      <c r="T50" s="24" t="s">
        <v>15</v>
      </c>
      <c r="U50" s="24" t="s">
        <v>15</v>
      </c>
      <c r="V50" s="24" t="s">
        <v>15</v>
      </c>
      <c r="W50" s="24" t="s">
        <v>15</v>
      </c>
      <c r="X50" s="24" t="s">
        <v>9</v>
      </c>
      <c r="Y50" s="24" t="s">
        <v>9</v>
      </c>
      <c r="Z50" s="24" t="s">
        <v>15</v>
      </c>
      <c r="AA50" s="24" t="s">
        <v>15</v>
      </c>
      <c r="AB50" s="24" t="s">
        <v>15</v>
      </c>
      <c r="AC50" s="24" t="s">
        <v>15</v>
      </c>
      <c r="AD50" s="24" t="s">
        <v>15</v>
      </c>
      <c r="AE50" s="24" t="s">
        <v>9</v>
      </c>
      <c r="AF50" s="24" t="s">
        <v>9</v>
      </c>
      <c r="AG50" s="24" t="s">
        <v>15</v>
      </c>
      <c r="AH50" s="24" t="s">
        <v>15</v>
      </c>
      <c r="AI50" s="24" t="s">
        <v>15</v>
      </c>
      <c r="AJ50" s="24"/>
    </row>
    <row r="51" spans="3:36" x14ac:dyDescent="0.25">
      <c r="C51" s="22"/>
      <c r="D51" s="23"/>
      <c r="F51" s="24" t="s">
        <v>4</v>
      </c>
      <c r="G51" s="24" t="s">
        <v>4</v>
      </c>
      <c r="H51" s="24" t="s">
        <v>4</v>
      </c>
      <c r="I51" s="24" t="s">
        <v>4</v>
      </c>
      <c r="J51" s="24" t="s">
        <v>9</v>
      </c>
      <c r="K51" s="24" t="s">
        <v>9</v>
      </c>
      <c r="L51" s="24" t="s">
        <v>4</v>
      </c>
      <c r="M51" s="24" t="s">
        <v>4</v>
      </c>
      <c r="N51" s="24" t="s">
        <v>4</v>
      </c>
      <c r="O51" s="24" t="s">
        <v>4</v>
      </c>
      <c r="P51" s="24" t="s">
        <v>4</v>
      </c>
      <c r="Q51" s="24" t="s">
        <v>9</v>
      </c>
      <c r="R51" s="24" t="s">
        <v>9</v>
      </c>
      <c r="S51" s="24" t="s">
        <v>4</v>
      </c>
      <c r="T51" s="24" t="s">
        <v>4</v>
      </c>
      <c r="U51" s="24" t="s">
        <v>4</v>
      </c>
      <c r="V51" s="24" t="s">
        <v>4</v>
      </c>
      <c r="W51" s="24" t="s">
        <v>4</v>
      </c>
      <c r="X51" s="24" t="s">
        <v>9</v>
      </c>
      <c r="Y51" s="24" t="s">
        <v>9</v>
      </c>
      <c r="Z51" s="24" t="s">
        <v>4</v>
      </c>
      <c r="AA51" s="24" t="s">
        <v>4</v>
      </c>
      <c r="AB51" s="24" t="s">
        <v>4</v>
      </c>
      <c r="AC51" s="24" t="s">
        <v>4</v>
      </c>
      <c r="AD51" s="24" t="s">
        <v>4</v>
      </c>
      <c r="AE51" s="24" t="s">
        <v>9</v>
      </c>
      <c r="AF51" s="24" t="s">
        <v>9</v>
      </c>
      <c r="AG51" s="24" t="s">
        <v>4</v>
      </c>
      <c r="AH51" s="24" t="s">
        <v>4</v>
      </c>
      <c r="AI51" s="24" t="s">
        <v>4</v>
      </c>
      <c r="AJ51" s="24"/>
    </row>
    <row r="52" spans="3:36" x14ac:dyDescent="0.25">
      <c r="C52" s="22"/>
      <c r="D52" s="23"/>
      <c r="F52" s="24" t="s">
        <v>4</v>
      </c>
      <c r="G52" s="24" t="s">
        <v>4</v>
      </c>
      <c r="H52" s="24" t="s">
        <v>4</v>
      </c>
      <c r="I52" s="24" t="s">
        <v>4</v>
      </c>
      <c r="J52" s="24" t="s">
        <v>9</v>
      </c>
      <c r="K52" s="24" t="s">
        <v>9</v>
      </c>
      <c r="L52" s="24" t="s">
        <v>4</v>
      </c>
      <c r="M52" s="24" t="s">
        <v>4</v>
      </c>
      <c r="N52" s="24" t="s">
        <v>4</v>
      </c>
      <c r="O52" s="24" t="s">
        <v>4</v>
      </c>
      <c r="P52" s="24" t="s">
        <v>4</v>
      </c>
      <c r="Q52" s="24" t="s">
        <v>9</v>
      </c>
      <c r="R52" s="24" t="s">
        <v>9</v>
      </c>
      <c r="S52" s="24" t="s">
        <v>4</v>
      </c>
      <c r="T52" s="24" t="s">
        <v>4</v>
      </c>
      <c r="U52" s="24" t="s">
        <v>4</v>
      </c>
      <c r="V52" s="24" t="s">
        <v>4</v>
      </c>
      <c r="W52" s="24" t="s">
        <v>4</v>
      </c>
      <c r="X52" s="24" t="s">
        <v>9</v>
      </c>
      <c r="Y52" s="24" t="s">
        <v>9</v>
      </c>
      <c r="Z52" s="24" t="s">
        <v>4</v>
      </c>
      <c r="AA52" s="24" t="s">
        <v>4</v>
      </c>
      <c r="AB52" s="24" t="s">
        <v>4</v>
      </c>
      <c r="AC52" s="24" t="s">
        <v>4</v>
      </c>
      <c r="AD52" s="24" t="s">
        <v>4</v>
      </c>
      <c r="AE52" s="24" t="s">
        <v>9</v>
      </c>
      <c r="AF52" s="24" t="s">
        <v>9</v>
      </c>
      <c r="AG52" s="24" t="s">
        <v>4</v>
      </c>
      <c r="AH52" s="24" t="s">
        <v>4</v>
      </c>
      <c r="AI52" s="24" t="s">
        <v>4</v>
      </c>
      <c r="AJ52" s="24"/>
    </row>
    <row r="53" spans="3:36" x14ac:dyDescent="0.25">
      <c r="C53" s="22"/>
      <c r="D53" s="23"/>
      <c r="F53" s="24" t="s">
        <v>15</v>
      </c>
      <c r="G53" s="24" t="s">
        <v>15</v>
      </c>
      <c r="H53" s="24" t="s">
        <v>15</v>
      </c>
      <c r="I53" s="24" t="s">
        <v>15</v>
      </c>
      <c r="J53" s="24" t="s">
        <v>9</v>
      </c>
      <c r="K53" s="24" t="s">
        <v>9</v>
      </c>
      <c r="L53" s="24" t="s">
        <v>15</v>
      </c>
      <c r="M53" s="24" t="s">
        <v>15</v>
      </c>
      <c r="N53" s="24" t="s">
        <v>15</v>
      </c>
      <c r="O53" s="24" t="s">
        <v>15</v>
      </c>
      <c r="P53" s="24" t="s">
        <v>15</v>
      </c>
      <c r="Q53" s="24" t="s">
        <v>9</v>
      </c>
      <c r="R53" s="24" t="s">
        <v>9</v>
      </c>
      <c r="S53" s="24" t="s">
        <v>15</v>
      </c>
      <c r="T53" s="24" t="s">
        <v>15</v>
      </c>
      <c r="U53" s="24" t="s">
        <v>15</v>
      </c>
      <c r="V53" s="24" t="s">
        <v>15</v>
      </c>
      <c r="W53" s="24" t="s">
        <v>15</v>
      </c>
      <c r="X53" s="24" t="s">
        <v>9</v>
      </c>
      <c r="Y53" s="24" t="s">
        <v>9</v>
      </c>
      <c r="Z53" s="24" t="s">
        <v>15</v>
      </c>
      <c r="AA53" s="24" t="s">
        <v>15</v>
      </c>
      <c r="AB53" s="24" t="s">
        <v>15</v>
      </c>
      <c r="AC53" s="24" t="s">
        <v>15</v>
      </c>
      <c r="AD53" s="24" t="s">
        <v>15</v>
      </c>
      <c r="AE53" s="24" t="s">
        <v>9</v>
      </c>
      <c r="AF53" s="24" t="s">
        <v>9</v>
      </c>
      <c r="AG53" s="24" t="s">
        <v>15</v>
      </c>
      <c r="AH53" s="24" t="s">
        <v>15</v>
      </c>
      <c r="AI53" s="24" t="s">
        <v>15</v>
      </c>
      <c r="AJ53" s="24"/>
    </row>
    <row r="54" spans="3:36" x14ac:dyDescent="0.25">
      <c r="C54" s="22"/>
      <c r="D54" s="23"/>
      <c r="F54" s="24" t="s">
        <v>4</v>
      </c>
      <c r="G54" s="24" t="s">
        <v>4</v>
      </c>
      <c r="H54" s="24" t="s">
        <v>4</v>
      </c>
      <c r="I54" s="24" t="s">
        <v>4</v>
      </c>
      <c r="J54" s="24" t="s">
        <v>9</v>
      </c>
      <c r="K54" s="24" t="s">
        <v>9</v>
      </c>
      <c r="L54" s="24" t="s">
        <v>4</v>
      </c>
      <c r="M54" s="24" t="s">
        <v>4</v>
      </c>
      <c r="N54" s="24" t="s">
        <v>4</v>
      </c>
      <c r="O54" s="24" t="s">
        <v>4</v>
      </c>
      <c r="P54" s="24" t="s">
        <v>4</v>
      </c>
      <c r="Q54" s="24" t="s">
        <v>9</v>
      </c>
      <c r="R54" s="24" t="s">
        <v>9</v>
      </c>
      <c r="S54" s="24" t="s">
        <v>4</v>
      </c>
      <c r="T54" s="24" t="s">
        <v>4</v>
      </c>
      <c r="U54" s="24" t="s">
        <v>4</v>
      </c>
      <c r="V54" s="24" t="s">
        <v>4</v>
      </c>
      <c r="W54" s="24" t="s">
        <v>4</v>
      </c>
      <c r="X54" s="24" t="s">
        <v>9</v>
      </c>
      <c r="Y54" s="24" t="s">
        <v>9</v>
      </c>
      <c r="Z54" s="24" t="s">
        <v>4</v>
      </c>
      <c r="AA54" s="24" t="s">
        <v>4</v>
      </c>
      <c r="AB54" s="24" t="s">
        <v>4</v>
      </c>
      <c r="AC54" s="24" t="s">
        <v>4</v>
      </c>
      <c r="AD54" s="24" t="s">
        <v>4</v>
      </c>
      <c r="AE54" s="24" t="s">
        <v>9</v>
      </c>
      <c r="AF54" s="24" t="s">
        <v>9</v>
      </c>
      <c r="AG54" s="24" t="s">
        <v>4</v>
      </c>
      <c r="AH54" s="24" t="s">
        <v>4</v>
      </c>
      <c r="AI54" s="24" t="s">
        <v>4</v>
      </c>
      <c r="AJ54" s="24"/>
    </row>
    <row r="55" spans="3:36" x14ac:dyDescent="0.25">
      <c r="C55" s="22"/>
      <c r="D55" s="23"/>
      <c r="F55" s="24" t="s">
        <v>4</v>
      </c>
      <c r="G55" s="24" t="s">
        <v>4</v>
      </c>
      <c r="H55" s="24" t="s">
        <v>4</v>
      </c>
      <c r="I55" s="24" t="s">
        <v>4</v>
      </c>
      <c r="J55" s="24" t="s">
        <v>9</v>
      </c>
      <c r="K55" s="24" t="s">
        <v>9</v>
      </c>
      <c r="L55" s="24" t="s">
        <v>4</v>
      </c>
      <c r="M55" s="24" t="s">
        <v>4</v>
      </c>
      <c r="N55" s="24" t="s">
        <v>4</v>
      </c>
      <c r="O55" s="24" t="s">
        <v>4</v>
      </c>
      <c r="P55" s="24" t="s">
        <v>4</v>
      </c>
      <c r="Q55" s="24" t="s">
        <v>9</v>
      </c>
      <c r="R55" s="24" t="s">
        <v>9</v>
      </c>
      <c r="S55" s="24" t="s">
        <v>4</v>
      </c>
      <c r="T55" s="24" t="s">
        <v>4</v>
      </c>
      <c r="U55" s="24" t="s">
        <v>4</v>
      </c>
      <c r="V55" s="24" t="s">
        <v>4</v>
      </c>
      <c r="W55" s="24" t="s">
        <v>4</v>
      </c>
      <c r="X55" s="24" t="s">
        <v>9</v>
      </c>
      <c r="Y55" s="24" t="s">
        <v>9</v>
      </c>
      <c r="Z55" s="24" t="s">
        <v>4</v>
      </c>
      <c r="AA55" s="24" t="s">
        <v>4</v>
      </c>
      <c r="AB55" s="24" t="s">
        <v>4</v>
      </c>
      <c r="AC55" s="24" t="s">
        <v>4</v>
      </c>
      <c r="AD55" s="24" t="s">
        <v>4</v>
      </c>
      <c r="AE55" s="24" t="s">
        <v>9</v>
      </c>
      <c r="AF55" s="24" t="s">
        <v>9</v>
      </c>
      <c r="AG55" s="24" t="s">
        <v>4</v>
      </c>
      <c r="AH55" s="24" t="s">
        <v>4</v>
      </c>
      <c r="AI55" s="24" t="s">
        <v>4</v>
      </c>
      <c r="AJ55" s="24"/>
    </row>
    <row r="56" spans="3:36" x14ac:dyDescent="0.25">
      <c r="C56" s="22"/>
      <c r="D56" s="23"/>
      <c r="F56" s="24" t="s">
        <v>4</v>
      </c>
      <c r="G56" s="24" t="s">
        <v>4</v>
      </c>
      <c r="H56" s="24" t="s">
        <v>4</v>
      </c>
      <c r="I56" s="24" t="s">
        <v>4</v>
      </c>
      <c r="J56" s="24" t="s">
        <v>9</v>
      </c>
      <c r="K56" s="24" t="s">
        <v>9</v>
      </c>
      <c r="L56" s="24" t="s">
        <v>4</v>
      </c>
      <c r="M56" s="24" t="s">
        <v>4</v>
      </c>
      <c r="N56" s="24" t="s">
        <v>4</v>
      </c>
      <c r="O56" s="24" t="s">
        <v>4</v>
      </c>
      <c r="P56" s="24" t="s">
        <v>20</v>
      </c>
      <c r="Q56" s="24" t="s">
        <v>9</v>
      </c>
      <c r="R56" s="24" t="s">
        <v>9</v>
      </c>
      <c r="S56" s="24" t="s">
        <v>4</v>
      </c>
      <c r="T56" s="24" t="s">
        <v>4</v>
      </c>
      <c r="U56" s="24" t="s">
        <v>4</v>
      </c>
      <c r="V56" s="24" t="s">
        <v>4</v>
      </c>
      <c r="W56" s="24" t="s">
        <v>4</v>
      </c>
      <c r="X56" s="24" t="s">
        <v>9</v>
      </c>
      <c r="Y56" s="24" t="s">
        <v>9</v>
      </c>
      <c r="Z56" s="24" t="s">
        <v>4</v>
      </c>
      <c r="AA56" s="24" t="s">
        <v>4</v>
      </c>
      <c r="AB56" s="24" t="s">
        <v>4</v>
      </c>
      <c r="AC56" s="24" t="s">
        <v>4</v>
      </c>
      <c r="AD56" s="24" t="s">
        <v>20</v>
      </c>
      <c r="AE56" s="24" t="s">
        <v>9</v>
      </c>
      <c r="AF56" s="24" t="s">
        <v>9</v>
      </c>
      <c r="AG56" s="24" t="s">
        <v>20</v>
      </c>
      <c r="AH56" s="24" t="s">
        <v>4</v>
      </c>
      <c r="AI56" s="24" t="s">
        <v>4</v>
      </c>
      <c r="AJ56" s="24"/>
    </row>
    <row r="57" spans="3:36" x14ac:dyDescent="0.25">
      <c r="C57" s="22"/>
      <c r="D57" s="23"/>
      <c r="F57" s="24" t="s">
        <v>4</v>
      </c>
      <c r="G57" s="24" t="s">
        <v>4</v>
      </c>
      <c r="H57" s="24" t="s">
        <v>4</v>
      </c>
      <c r="I57" s="24" t="s">
        <v>4</v>
      </c>
      <c r="J57" s="24" t="s">
        <v>9</v>
      </c>
      <c r="K57" s="24" t="s">
        <v>9</v>
      </c>
      <c r="L57" s="24" t="s">
        <v>4</v>
      </c>
      <c r="M57" s="24" t="s">
        <v>4</v>
      </c>
      <c r="N57" s="24" t="s">
        <v>4</v>
      </c>
      <c r="O57" s="24" t="s">
        <v>4</v>
      </c>
      <c r="P57" s="24" t="s">
        <v>4</v>
      </c>
      <c r="Q57" s="24" t="s">
        <v>9</v>
      </c>
      <c r="R57" s="24" t="s">
        <v>9</v>
      </c>
      <c r="S57" s="24" t="s">
        <v>4</v>
      </c>
      <c r="T57" s="24" t="s">
        <v>4</v>
      </c>
      <c r="U57" s="24" t="s">
        <v>4</v>
      </c>
      <c r="V57" s="24" t="s">
        <v>4</v>
      </c>
      <c r="W57" s="24" t="s">
        <v>4</v>
      </c>
      <c r="X57" s="24" t="s">
        <v>9</v>
      </c>
      <c r="Y57" s="24" t="s">
        <v>9</v>
      </c>
      <c r="Z57" s="24" t="s">
        <v>4</v>
      </c>
      <c r="AA57" s="24" t="s">
        <v>4</v>
      </c>
      <c r="AB57" s="24" t="s">
        <v>4</v>
      </c>
      <c r="AC57" s="24" t="s">
        <v>4</v>
      </c>
      <c r="AD57" s="24" t="s">
        <v>4</v>
      </c>
      <c r="AE57" s="24" t="s">
        <v>9</v>
      </c>
      <c r="AF57" s="24" t="s">
        <v>9</v>
      </c>
      <c r="AG57" s="24" t="s">
        <v>4</v>
      </c>
      <c r="AH57" s="24" t="s">
        <v>4</v>
      </c>
      <c r="AI57" s="24" t="s">
        <v>4</v>
      </c>
      <c r="AJ57" s="24"/>
    </row>
    <row r="58" spans="3:36" x14ac:dyDescent="0.25">
      <c r="C58" s="22"/>
      <c r="D58" s="23"/>
      <c r="F58" s="24" t="s">
        <v>4</v>
      </c>
      <c r="G58" s="24" t="s">
        <v>4</v>
      </c>
      <c r="H58" s="24" t="s">
        <v>4</v>
      </c>
      <c r="I58" s="24" t="s">
        <v>4</v>
      </c>
      <c r="J58" s="24" t="s">
        <v>9</v>
      </c>
      <c r="K58" s="24" t="s">
        <v>9</v>
      </c>
      <c r="L58" s="24" t="s">
        <v>4</v>
      </c>
      <c r="M58" s="24" t="s">
        <v>4</v>
      </c>
      <c r="N58" s="24" t="s">
        <v>4</v>
      </c>
      <c r="O58" s="24" t="s">
        <v>4</v>
      </c>
      <c r="P58" s="24" t="s">
        <v>4</v>
      </c>
      <c r="Q58" s="24" t="s">
        <v>9</v>
      </c>
      <c r="R58" s="24" t="s">
        <v>9</v>
      </c>
      <c r="S58" s="24" t="s">
        <v>4</v>
      </c>
      <c r="T58" s="24" t="s">
        <v>4</v>
      </c>
      <c r="U58" s="24" t="s">
        <v>4</v>
      </c>
      <c r="V58" s="24" t="s">
        <v>4</v>
      </c>
      <c r="W58" s="24" t="s">
        <v>4</v>
      </c>
      <c r="X58" s="24" t="s">
        <v>9</v>
      </c>
      <c r="Y58" s="24" t="s">
        <v>9</v>
      </c>
      <c r="Z58" s="24" t="s">
        <v>4</v>
      </c>
      <c r="AA58" s="24" t="s">
        <v>4</v>
      </c>
      <c r="AB58" s="24" t="s">
        <v>4</v>
      </c>
      <c r="AC58" s="24" t="s">
        <v>4</v>
      </c>
      <c r="AD58" s="24" t="s">
        <v>4</v>
      </c>
      <c r="AE58" s="24" t="s">
        <v>9</v>
      </c>
      <c r="AF58" s="24" t="s">
        <v>9</v>
      </c>
      <c r="AG58" s="24" t="s">
        <v>4</v>
      </c>
      <c r="AH58" s="24" t="s">
        <v>4</v>
      </c>
      <c r="AI58" s="24" t="s">
        <v>4</v>
      </c>
      <c r="AJ58" s="24"/>
    </row>
    <row r="59" spans="3:36" x14ac:dyDescent="0.25">
      <c r="C59" s="22"/>
      <c r="D59" s="23"/>
      <c r="F59" s="24" t="s">
        <v>4</v>
      </c>
      <c r="G59" s="24" t="s">
        <v>4</v>
      </c>
      <c r="H59" s="24" t="s">
        <v>4</v>
      </c>
      <c r="I59" s="24" t="s">
        <v>4</v>
      </c>
      <c r="J59" s="24" t="s">
        <v>9</v>
      </c>
      <c r="K59" s="24" t="s">
        <v>9</v>
      </c>
      <c r="L59" s="24" t="s">
        <v>4</v>
      </c>
      <c r="M59" s="24" t="s">
        <v>4</v>
      </c>
      <c r="N59" s="24" t="s">
        <v>4</v>
      </c>
      <c r="O59" s="24" t="s">
        <v>4</v>
      </c>
      <c r="P59" s="24" t="s">
        <v>4</v>
      </c>
      <c r="Q59" s="24" t="s">
        <v>9</v>
      </c>
      <c r="R59" s="24" t="s">
        <v>9</v>
      </c>
      <c r="S59" s="24" t="s">
        <v>4</v>
      </c>
      <c r="T59" s="24" t="s">
        <v>4</v>
      </c>
      <c r="U59" s="24" t="s">
        <v>4</v>
      </c>
      <c r="V59" s="24" t="s">
        <v>4</v>
      </c>
      <c r="W59" s="24" t="s">
        <v>4</v>
      </c>
      <c r="X59" s="24" t="s">
        <v>9</v>
      </c>
      <c r="Y59" s="24" t="s">
        <v>9</v>
      </c>
      <c r="Z59" s="24" t="s">
        <v>4</v>
      </c>
      <c r="AA59" s="24" t="s">
        <v>4</v>
      </c>
      <c r="AB59" s="24" t="s">
        <v>4</v>
      </c>
      <c r="AC59" s="24" t="s">
        <v>4</v>
      </c>
      <c r="AD59" s="24" t="s">
        <v>4</v>
      </c>
      <c r="AE59" s="24" t="s">
        <v>9</v>
      </c>
      <c r="AF59" s="24" t="s">
        <v>9</v>
      </c>
      <c r="AG59" s="24" t="s">
        <v>4</v>
      </c>
      <c r="AH59" s="24" t="s">
        <v>4</v>
      </c>
      <c r="AI59" s="24" t="s">
        <v>4</v>
      </c>
      <c r="AJ59" s="24"/>
    </row>
    <row r="60" spans="3:36" x14ac:dyDescent="0.25">
      <c r="C60" s="22"/>
      <c r="D60" s="23"/>
      <c r="F60" s="24" t="s">
        <v>4</v>
      </c>
      <c r="G60" s="24" t="s">
        <v>4</v>
      </c>
      <c r="H60" s="24" t="s">
        <v>4</v>
      </c>
      <c r="I60" s="24" t="s">
        <v>4</v>
      </c>
      <c r="J60" s="24" t="s">
        <v>9</v>
      </c>
      <c r="K60" s="24" t="s">
        <v>9</v>
      </c>
      <c r="L60" s="24" t="s">
        <v>4</v>
      </c>
      <c r="M60" s="24" t="s">
        <v>4</v>
      </c>
      <c r="N60" s="24" t="s">
        <v>4</v>
      </c>
      <c r="O60" s="24" t="s">
        <v>4</v>
      </c>
      <c r="P60" s="24" t="s">
        <v>4</v>
      </c>
      <c r="Q60" s="24" t="s">
        <v>9</v>
      </c>
      <c r="R60" s="24" t="s">
        <v>9</v>
      </c>
      <c r="S60" s="24" t="s">
        <v>4</v>
      </c>
      <c r="T60" s="24" t="s">
        <v>4</v>
      </c>
      <c r="U60" s="24" t="s">
        <v>4</v>
      </c>
      <c r="V60" s="24" t="s">
        <v>4</v>
      </c>
      <c r="W60" s="24" t="s">
        <v>4</v>
      </c>
      <c r="X60" s="24" t="s">
        <v>9</v>
      </c>
      <c r="Y60" s="24" t="s">
        <v>9</v>
      </c>
      <c r="Z60" s="24" t="s">
        <v>4</v>
      </c>
      <c r="AA60" s="24" t="s">
        <v>4</v>
      </c>
      <c r="AB60" s="24" t="s">
        <v>4</v>
      </c>
      <c r="AC60" s="24" t="s">
        <v>4</v>
      </c>
      <c r="AD60" s="24" t="s">
        <v>20</v>
      </c>
      <c r="AE60" s="24" t="s">
        <v>9</v>
      </c>
      <c r="AF60" s="24" t="s">
        <v>9</v>
      </c>
      <c r="AG60" s="24" t="s">
        <v>20</v>
      </c>
      <c r="AH60" s="24" t="s">
        <v>4</v>
      </c>
      <c r="AI60" s="24" t="s">
        <v>4</v>
      </c>
      <c r="AJ60" s="24"/>
    </row>
    <row r="61" spans="3:36" x14ac:dyDescent="0.25">
      <c r="C61" s="22"/>
      <c r="D61" s="23"/>
      <c r="F61" s="24" t="s">
        <v>4</v>
      </c>
      <c r="G61" s="24" t="s">
        <v>4</v>
      </c>
      <c r="H61" s="24" t="s">
        <v>4</v>
      </c>
      <c r="I61" s="24" t="s">
        <v>4</v>
      </c>
      <c r="J61" s="24" t="s">
        <v>9</v>
      </c>
      <c r="K61" s="24" t="s">
        <v>9</v>
      </c>
      <c r="L61" s="24" t="s">
        <v>4</v>
      </c>
      <c r="M61" s="24" t="s">
        <v>4</v>
      </c>
      <c r="N61" s="24" t="s">
        <v>4</v>
      </c>
      <c r="O61" s="24" t="s">
        <v>4</v>
      </c>
      <c r="P61" s="24" t="s">
        <v>4</v>
      </c>
      <c r="Q61" s="24" t="s">
        <v>9</v>
      </c>
      <c r="R61" s="24" t="s">
        <v>9</v>
      </c>
      <c r="S61" s="24" t="s">
        <v>4</v>
      </c>
      <c r="T61" s="24" t="s">
        <v>4</v>
      </c>
      <c r="U61" s="24" t="s">
        <v>4</v>
      </c>
      <c r="V61" s="24" t="s">
        <v>4</v>
      </c>
      <c r="W61" s="24" t="s">
        <v>4</v>
      </c>
      <c r="X61" s="24" t="s">
        <v>9</v>
      </c>
      <c r="Y61" s="24" t="s">
        <v>9</v>
      </c>
      <c r="Z61" s="24" t="s">
        <v>4</v>
      </c>
      <c r="AA61" s="24" t="s">
        <v>4</v>
      </c>
      <c r="AB61" s="24" t="s">
        <v>4</v>
      </c>
      <c r="AC61" s="24" t="s">
        <v>4</v>
      </c>
      <c r="AD61" s="24" t="s">
        <v>4</v>
      </c>
      <c r="AE61" s="24" t="s">
        <v>9</v>
      </c>
      <c r="AF61" s="24" t="s">
        <v>9</v>
      </c>
      <c r="AG61" s="24" t="s">
        <v>4</v>
      </c>
      <c r="AH61" s="24" t="s">
        <v>4</v>
      </c>
      <c r="AI61" s="24" t="s">
        <v>4</v>
      </c>
      <c r="AJ61" s="24"/>
    </row>
    <row r="62" spans="3:36" x14ac:dyDescent="0.25">
      <c r="C62" s="22"/>
      <c r="D62" s="23"/>
      <c r="F62" s="24" t="s">
        <v>4</v>
      </c>
      <c r="G62" s="24" t="s">
        <v>4</v>
      </c>
      <c r="H62" s="24" t="s">
        <v>4</v>
      </c>
      <c r="I62" s="24" t="s">
        <v>4</v>
      </c>
      <c r="J62" s="24" t="s">
        <v>9</v>
      </c>
      <c r="K62" s="24" t="s">
        <v>9</v>
      </c>
      <c r="L62" s="24" t="s">
        <v>4</v>
      </c>
      <c r="M62" s="24" t="s">
        <v>4</v>
      </c>
      <c r="N62" s="24" t="s">
        <v>4</v>
      </c>
      <c r="O62" s="24" t="s">
        <v>4</v>
      </c>
      <c r="P62" s="24" t="s">
        <v>4</v>
      </c>
      <c r="Q62" s="24" t="s">
        <v>9</v>
      </c>
      <c r="R62" s="24" t="s">
        <v>9</v>
      </c>
      <c r="S62" s="24" t="s">
        <v>11</v>
      </c>
      <c r="T62" s="24" t="s">
        <v>4</v>
      </c>
      <c r="U62" s="24" t="s">
        <v>4</v>
      </c>
      <c r="V62" s="24" t="s">
        <v>4</v>
      </c>
      <c r="W62" s="24" t="s">
        <v>4</v>
      </c>
      <c r="X62" s="24" t="s">
        <v>9</v>
      </c>
      <c r="Y62" s="24" t="s">
        <v>9</v>
      </c>
      <c r="Z62" s="24" t="s">
        <v>4</v>
      </c>
      <c r="AA62" s="24" t="s">
        <v>4</v>
      </c>
      <c r="AB62" s="24" t="s">
        <v>4</v>
      </c>
      <c r="AC62" s="24" t="s">
        <v>4</v>
      </c>
      <c r="AD62" s="24" t="s">
        <v>4</v>
      </c>
      <c r="AE62" s="24" t="s">
        <v>9</v>
      </c>
      <c r="AF62" s="24" t="s">
        <v>9</v>
      </c>
      <c r="AG62" s="24" t="s">
        <v>4</v>
      </c>
      <c r="AH62" s="24" t="s">
        <v>4</v>
      </c>
      <c r="AI62" s="24" t="s">
        <v>4</v>
      </c>
      <c r="AJ62" s="24"/>
    </row>
    <row r="63" spans="3:36" x14ac:dyDescent="0.25">
      <c r="C63" s="22"/>
      <c r="D63" s="23"/>
      <c r="F63" s="24" t="s">
        <v>4</v>
      </c>
      <c r="G63" s="24" t="s">
        <v>4</v>
      </c>
      <c r="H63" s="24" t="s">
        <v>4</v>
      </c>
      <c r="I63" s="24" t="s">
        <v>4</v>
      </c>
      <c r="J63" s="24" t="s">
        <v>9</v>
      </c>
      <c r="K63" s="24" t="s">
        <v>9</v>
      </c>
      <c r="L63" s="24" t="s">
        <v>4</v>
      </c>
      <c r="M63" s="24" t="s">
        <v>4</v>
      </c>
      <c r="N63" s="24" t="s">
        <v>4</v>
      </c>
      <c r="O63" s="24" t="s">
        <v>4</v>
      </c>
      <c r="P63" s="24" t="s">
        <v>4</v>
      </c>
      <c r="Q63" s="24" t="s">
        <v>9</v>
      </c>
      <c r="R63" s="24" t="s">
        <v>9</v>
      </c>
      <c r="S63" s="24" t="s">
        <v>4</v>
      </c>
      <c r="T63" s="24" t="s">
        <v>4</v>
      </c>
      <c r="U63" s="24" t="s">
        <v>4</v>
      </c>
      <c r="V63" s="24" t="s">
        <v>4</v>
      </c>
      <c r="W63" s="24" t="s">
        <v>4</v>
      </c>
      <c r="X63" s="24" t="s">
        <v>9</v>
      </c>
      <c r="Y63" s="24" t="s">
        <v>9</v>
      </c>
      <c r="Z63" s="24" t="s">
        <v>4</v>
      </c>
      <c r="AA63" s="24" t="s">
        <v>4</v>
      </c>
      <c r="AB63" s="24" t="s">
        <v>4</v>
      </c>
      <c r="AC63" s="24" t="s">
        <v>4</v>
      </c>
      <c r="AD63" s="24" t="s">
        <v>4</v>
      </c>
      <c r="AE63" s="24" t="s">
        <v>9</v>
      </c>
      <c r="AF63" s="24" t="s">
        <v>9</v>
      </c>
      <c r="AG63" s="24" t="s">
        <v>4</v>
      </c>
      <c r="AH63" s="24" t="s">
        <v>4</v>
      </c>
      <c r="AI63" s="24" t="s">
        <v>4</v>
      </c>
      <c r="AJ63" s="24"/>
    </row>
    <row r="64" spans="3:36" x14ac:dyDescent="0.25">
      <c r="C64" s="22"/>
      <c r="D64" s="23"/>
      <c r="F64" s="24" t="s">
        <v>4</v>
      </c>
      <c r="G64" s="24" t="s">
        <v>4</v>
      </c>
      <c r="H64" s="24" t="s">
        <v>4</v>
      </c>
      <c r="I64" s="24" t="s">
        <v>4</v>
      </c>
      <c r="J64" s="24" t="s">
        <v>9</v>
      </c>
      <c r="K64" s="24" t="s">
        <v>9</v>
      </c>
      <c r="L64" s="24" t="s">
        <v>4</v>
      </c>
      <c r="M64" s="24" t="s">
        <v>4</v>
      </c>
      <c r="N64" s="24" t="s">
        <v>4</v>
      </c>
      <c r="O64" s="24" t="s">
        <v>4</v>
      </c>
      <c r="P64" s="24" t="s">
        <v>4</v>
      </c>
      <c r="Q64" s="24" t="s">
        <v>9</v>
      </c>
      <c r="R64" s="24" t="s">
        <v>9</v>
      </c>
      <c r="S64" s="24" t="s">
        <v>4</v>
      </c>
      <c r="T64" s="24" t="s">
        <v>4</v>
      </c>
      <c r="U64" s="24" t="s">
        <v>4</v>
      </c>
      <c r="V64" s="24" t="s">
        <v>4</v>
      </c>
      <c r="W64" s="24" t="s">
        <v>4</v>
      </c>
      <c r="X64" s="24" t="s">
        <v>9</v>
      </c>
      <c r="Y64" s="24" t="s">
        <v>9</v>
      </c>
      <c r="Z64" s="24" t="s">
        <v>4</v>
      </c>
      <c r="AA64" s="24" t="s">
        <v>4</v>
      </c>
      <c r="AB64" s="24" t="s">
        <v>4</v>
      </c>
      <c r="AC64" s="24" t="s">
        <v>4</v>
      </c>
      <c r="AD64" s="24" t="s">
        <v>4</v>
      </c>
      <c r="AE64" s="24" t="s">
        <v>9</v>
      </c>
      <c r="AF64" s="24" t="s">
        <v>9</v>
      </c>
      <c r="AG64" s="24" t="s">
        <v>4</v>
      </c>
      <c r="AH64" s="24" t="s">
        <v>4</v>
      </c>
      <c r="AI64" s="24" t="s">
        <v>4</v>
      </c>
      <c r="AJ64" s="24"/>
    </row>
    <row r="65" spans="3:36" x14ac:dyDescent="0.25">
      <c r="C65" s="22"/>
      <c r="D65" s="23"/>
      <c r="F65" s="24" t="s">
        <v>4</v>
      </c>
      <c r="G65" s="24" t="s">
        <v>4</v>
      </c>
      <c r="H65" s="24" t="s">
        <v>4</v>
      </c>
      <c r="I65" s="24" t="s">
        <v>4</v>
      </c>
      <c r="J65" s="24" t="s">
        <v>9</v>
      </c>
      <c r="K65" s="24" t="s">
        <v>9</v>
      </c>
      <c r="L65" s="24" t="s">
        <v>4</v>
      </c>
      <c r="M65" s="24" t="s">
        <v>4</v>
      </c>
      <c r="N65" s="24" t="s">
        <v>4</v>
      </c>
      <c r="O65" s="24" t="s">
        <v>4</v>
      </c>
      <c r="P65" s="24" t="s">
        <v>4</v>
      </c>
      <c r="Q65" s="24" t="s">
        <v>9</v>
      </c>
      <c r="R65" s="24" t="s">
        <v>9</v>
      </c>
      <c r="S65" s="24" t="s">
        <v>4</v>
      </c>
      <c r="T65" s="24" t="s">
        <v>4</v>
      </c>
      <c r="U65" s="24" t="s">
        <v>4</v>
      </c>
      <c r="V65" s="24" t="s">
        <v>4</v>
      </c>
      <c r="W65" s="24" t="s">
        <v>4</v>
      </c>
      <c r="X65" s="24" t="s">
        <v>9</v>
      </c>
      <c r="Y65" s="24" t="s">
        <v>9</v>
      </c>
      <c r="Z65" s="24" t="s">
        <v>4</v>
      </c>
      <c r="AA65" s="24" t="s">
        <v>4</v>
      </c>
      <c r="AB65" s="24" t="s">
        <v>4</v>
      </c>
      <c r="AC65" s="24" t="s">
        <v>4</v>
      </c>
      <c r="AD65" s="24" t="s">
        <v>4</v>
      </c>
      <c r="AE65" s="24" t="s">
        <v>9</v>
      </c>
      <c r="AF65" s="24" t="s">
        <v>9</v>
      </c>
      <c r="AG65" s="24" t="s">
        <v>4</v>
      </c>
      <c r="AH65" s="24" t="s">
        <v>4</v>
      </c>
      <c r="AI65" s="24" t="s">
        <v>4</v>
      </c>
      <c r="AJ65" s="24"/>
    </row>
    <row r="66" spans="3:36" x14ac:dyDescent="0.25">
      <c r="C66" s="22"/>
      <c r="D66" s="23"/>
      <c r="F66" s="24" t="s">
        <v>4</v>
      </c>
      <c r="G66" s="24" t="s">
        <v>4</v>
      </c>
      <c r="H66" s="24" t="s">
        <v>4</v>
      </c>
      <c r="I66" s="24" t="s">
        <v>4</v>
      </c>
      <c r="J66" s="24" t="s">
        <v>9</v>
      </c>
      <c r="K66" s="24" t="s">
        <v>9</v>
      </c>
      <c r="L66" s="24" t="s">
        <v>4</v>
      </c>
      <c r="M66" s="24" t="s">
        <v>4</v>
      </c>
      <c r="N66" s="24" t="s">
        <v>4</v>
      </c>
      <c r="O66" s="24" t="s">
        <v>4</v>
      </c>
      <c r="P66" s="24" t="s">
        <v>4</v>
      </c>
      <c r="Q66" s="24" t="s">
        <v>9</v>
      </c>
      <c r="R66" s="24" t="s">
        <v>9</v>
      </c>
      <c r="S66" s="24" t="s">
        <v>4</v>
      </c>
      <c r="T66" s="24" t="s">
        <v>4</v>
      </c>
      <c r="U66" s="24" t="s">
        <v>4</v>
      </c>
      <c r="V66" s="24" t="s">
        <v>4</v>
      </c>
      <c r="W66" s="24" t="s">
        <v>4</v>
      </c>
      <c r="X66" s="24" t="s">
        <v>9</v>
      </c>
      <c r="Y66" s="24" t="s">
        <v>9</v>
      </c>
      <c r="Z66" s="24" t="s">
        <v>4</v>
      </c>
      <c r="AA66" s="24" t="s">
        <v>4</v>
      </c>
      <c r="AB66" s="24" t="s">
        <v>4</v>
      </c>
      <c r="AC66" s="24" t="s">
        <v>4</v>
      </c>
      <c r="AD66" s="24" t="s">
        <v>4</v>
      </c>
      <c r="AE66" s="24" t="s">
        <v>9</v>
      </c>
      <c r="AF66" s="24" t="s">
        <v>9</v>
      </c>
      <c r="AG66" s="24" t="s">
        <v>4</v>
      </c>
      <c r="AH66" s="24" t="s">
        <v>4</v>
      </c>
      <c r="AI66" s="24" t="s">
        <v>4</v>
      </c>
      <c r="AJ66" s="24"/>
    </row>
    <row r="67" spans="3:36" x14ac:dyDescent="0.25">
      <c r="C67" s="22"/>
      <c r="D67" s="23"/>
      <c r="F67" s="24" t="s">
        <v>4</v>
      </c>
      <c r="G67" s="24" t="s">
        <v>4</v>
      </c>
      <c r="H67" s="24" t="s">
        <v>4</v>
      </c>
      <c r="I67" s="24" t="s">
        <v>4</v>
      </c>
      <c r="J67" s="24" t="s">
        <v>9</v>
      </c>
      <c r="K67" s="24" t="s">
        <v>9</v>
      </c>
      <c r="L67" s="24" t="s">
        <v>4</v>
      </c>
      <c r="M67" s="24" t="s">
        <v>4</v>
      </c>
      <c r="N67" s="24" t="s">
        <v>4</v>
      </c>
      <c r="O67" s="24" t="s">
        <v>4</v>
      </c>
      <c r="P67" s="24" t="s">
        <v>4</v>
      </c>
      <c r="Q67" s="24" t="s">
        <v>9</v>
      </c>
      <c r="R67" s="24" t="s">
        <v>9</v>
      </c>
      <c r="S67" s="24" t="s">
        <v>4</v>
      </c>
      <c r="T67" s="24" t="s">
        <v>4</v>
      </c>
      <c r="U67" s="24" t="s">
        <v>4</v>
      </c>
      <c r="V67" s="24" t="s">
        <v>4</v>
      </c>
      <c r="W67" s="24" t="s">
        <v>4</v>
      </c>
      <c r="X67" s="24" t="s">
        <v>9</v>
      </c>
      <c r="Y67" s="24" t="s">
        <v>9</v>
      </c>
      <c r="Z67" s="24" t="s">
        <v>4</v>
      </c>
      <c r="AA67" s="24" t="s">
        <v>4</v>
      </c>
      <c r="AB67" s="24" t="s">
        <v>4</v>
      </c>
      <c r="AC67" s="24" t="s">
        <v>4</v>
      </c>
      <c r="AD67" s="24" t="s">
        <v>4</v>
      </c>
      <c r="AE67" s="24" t="s">
        <v>9</v>
      </c>
      <c r="AF67" s="24" t="s">
        <v>9</v>
      </c>
      <c r="AG67" s="24" t="s">
        <v>4</v>
      </c>
      <c r="AH67" s="24" t="s">
        <v>4</v>
      </c>
      <c r="AI67" s="24" t="s">
        <v>4</v>
      </c>
      <c r="AJ67" s="24"/>
    </row>
    <row r="68" spans="3:36" x14ac:dyDescent="0.25">
      <c r="C68" s="22"/>
      <c r="D68" s="23"/>
      <c r="F68" s="24" t="s">
        <v>4</v>
      </c>
      <c r="G68" s="24" t="s">
        <v>4</v>
      </c>
      <c r="H68" s="24" t="s">
        <v>4</v>
      </c>
      <c r="I68" s="24" t="s">
        <v>4</v>
      </c>
      <c r="J68" s="24" t="s">
        <v>9</v>
      </c>
      <c r="K68" s="24" t="s">
        <v>9</v>
      </c>
      <c r="L68" s="24" t="s">
        <v>4</v>
      </c>
      <c r="M68" s="24" t="s">
        <v>4</v>
      </c>
      <c r="N68" s="24" t="s">
        <v>4</v>
      </c>
      <c r="O68" s="24" t="s">
        <v>4</v>
      </c>
      <c r="P68" s="24" t="s">
        <v>4</v>
      </c>
      <c r="Q68" s="24" t="s">
        <v>9</v>
      </c>
      <c r="R68" s="24" t="s">
        <v>9</v>
      </c>
      <c r="S68" s="24" t="s">
        <v>4</v>
      </c>
      <c r="T68" s="24" t="s">
        <v>4</v>
      </c>
      <c r="U68" s="24" t="s">
        <v>4</v>
      </c>
      <c r="V68" s="24" t="s">
        <v>4</v>
      </c>
      <c r="W68" s="24" t="s">
        <v>4</v>
      </c>
      <c r="X68" s="24" t="s">
        <v>9</v>
      </c>
      <c r="Y68" s="24" t="s">
        <v>9</v>
      </c>
      <c r="Z68" s="24" t="s">
        <v>4</v>
      </c>
      <c r="AA68" s="24" t="s">
        <v>4</v>
      </c>
      <c r="AB68" s="24" t="s">
        <v>4</v>
      </c>
      <c r="AC68" s="24" t="s">
        <v>4</v>
      </c>
      <c r="AD68" s="24" t="s">
        <v>4</v>
      </c>
      <c r="AE68" s="24" t="s">
        <v>9</v>
      </c>
      <c r="AF68" s="24" t="s">
        <v>9</v>
      </c>
      <c r="AG68" s="24" t="s">
        <v>4</v>
      </c>
      <c r="AH68" s="24" t="s">
        <v>4</v>
      </c>
      <c r="AI68" s="24" t="s">
        <v>4</v>
      </c>
      <c r="AJ68" s="24"/>
    </row>
    <row r="69" spans="3:36" x14ac:dyDescent="0.25">
      <c r="C69" s="22"/>
      <c r="D69" s="23"/>
      <c r="F69" s="24" t="s">
        <v>4</v>
      </c>
      <c r="G69" s="24" t="s">
        <v>4</v>
      </c>
      <c r="H69" s="24" t="s">
        <v>4</v>
      </c>
      <c r="I69" s="24" t="s">
        <v>4</v>
      </c>
      <c r="J69" s="24" t="s">
        <v>9</v>
      </c>
      <c r="K69" s="24" t="s">
        <v>9</v>
      </c>
      <c r="L69" s="24" t="s">
        <v>4</v>
      </c>
      <c r="M69" s="24" t="s">
        <v>4</v>
      </c>
      <c r="N69" s="24" t="s">
        <v>4</v>
      </c>
      <c r="O69" s="24" t="s">
        <v>4</v>
      </c>
      <c r="P69" s="24" t="s">
        <v>4</v>
      </c>
      <c r="Q69" s="24" t="s">
        <v>9</v>
      </c>
      <c r="R69" s="24" t="s">
        <v>9</v>
      </c>
      <c r="S69" s="24" t="s">
        <v>4</v>
      </c>
      <c r="T69" s="24" t="s">
        <v>4</v>
      </c>
      <c r="U69" s="24" t="s">
        <v>4</v>
      </c>
      <c r="V69" s="24" t="s">
        <v>4</v>
      </c>
      <c r="W69" s="24" t="s">
        <v>4</v>
      </c>
      <c r="X69" s="24" t="s">
        <v>9</v>
      </c>
      <c r="Y69" s="24" t="s">
        <v>9</v>
      </c>
      <c r="Z69" s="24" t="s">
        <v>4</v>
      </c>
      <c r="AA69" s="24" t="s">
        <v>4</v>
      </c>
      <c r="AB69" s="24" t="s">
        <v>4</v>
      </c>
      <c r="AC69" s="24" t="s">
        <v>4</v>
      </c>
      <c r="AD69" s="24" t="s">
        <v>4</v>
      </c>
      <c r="AE69" s="24" t="s">
        <v>9</v>
      </c>
      <c r="AF69" s="24" t="s">
        <v>9</v>
      </c>
      <c r="AG69" s="24" t="s">
        <v>4</v>
      </c>
      <c r="AH69" s="24" t="s">
        <v>4</v>
      </c>
      <c r="AI69" s="24" t="s">
        <v>4</v>
      </c>
      <c r="AJ69" s="24"/>
    </row>
    <row r="70" spans="3:36" x14ac:dyDescent="0.25">
      <c r="C70" s="22"/>
      <c r="D70" s="23"/>
      <c r="F70" s="24" t="s">
        <v>4</v>
      </c>
      <c r="G70" s="24" t="s">
        <v>4</v>
      </c>
      <c r="H70" s="24" t="s">
        <v>4</v>
      </c>
      <c r="I70" s="24" t="s">
        <v>4</v>
      </c>
      <c r="J70" s="24" t="s">
        <v>9</v>
      </c>
      <c r="K70" s="24" t="s">
        <v>9</v>
      </c>
      <c r="L70" s="24" t="s">
        <v>4</v>
      </c>
      <c r="M70" s="24" t="s">
        <v>4</v>
      </c>
      <c r="N70" s="24" t="s">
        <v>4</v>
      </c>
      <c r="O70" s="24" t="s">
        <v>4</v>
      </c>
      <c r="P70" s="24" t="s">
        <v>4</v>
      </c>
      <c r="Q70" s="24" t="s">
        <v>9</v>
      </c>
      <c r="R70" s="24" t="s">
        <v>9</v>
      </c>
      <c r="S70" s="24" t="s">
        <v>4</v>
      </c>
      <c r="T70" s="24" t="s">
        <v>4</v>
      </c>
      <c r="U70" s="24" t="s">
        <v>4</v>
      </c>
      <c r="V70" s="24" t="s">
        <v>4</v>
      </c>
      <c r="W70" s="24" t="s">
        <v>4</v>
      </c>
      <c r="X70" s="24" t="s">
        <v>9</v>
      </c>
      <c r="Y70" s="24" t="s">
        <v>9</v>
      </c>
      <c r="Z70" s="24" t="s">
        <v>4</v>
      </c>
      <c r="AA70" s="24" t="s">
        <v>4</v>
      </c>
      <c r="AB70" s="24" t="s">
        <v>4</v>
      </c>
      <c r="AC70" s="24" t="s">
        <v>4</v>
      </c>
      <c r="AD70" s="24" t="s">
        <v>4</v>
      </c>
      <c r="AE70" s="24" t="s">
        <v>9</v>
      </c>
      <c r="AF70" s="24" t="s">
        <v>9</v>
      </c>
      <c r="AG70" s="24" t="s">
        <v>4</v>
      </c>
      <c r="AH70" s="24" t="s">
        <v>4</v>
      </c>
      <c r="AI70" s="24" t="s">
        <v>4</v>
      </c>
      <c r="AJ70" s="24"/>
    </row>
    <row r="71" spans="3:36" x14ac:dyDescent="0.25">
      <c r="C71" s="22"/>
      <c r="D71" s="23"/>
      <c r="F71" s="24" t="s">
        <v>4</v>
      </c>
      <c r="G71" s="24" t="s">
        <v>4</v>
      </c>
      <c r="H71" s="24" t="s">
        <v>4</v>
      </c>
      <c r="I71" s="24" t="s">
        <v>4</v>
      </c>
      <c r="J71" s="24" t="s">
        <v>9</v>
      </c>
      <c r="K71" s="24" t="s">
        <v>9</v>
      </c>
      <c r="L71" s="24" t="s">
        <v>4</v>
      </c>
      <c r="M71" s="24" t="s">
        <v>4</v>
      </c>
      <c r="N71" s="24" t="s">
        <v>4</v>
      </c>
      <c r="O71" s="24" t="s">
        <v>4</v>
      </c>
      <c r="P71" s="24" t="s">
        <v>4</v>
      </c>
      <c r="Q71" s="24" t="s">
        <v>9</v>
      </c>
      <c r="R71" s="24" t="s">
        <v>9</v>
      </c>
      <c r="S71" s="24" t="s">
        <v>4</v>
      </c>
      <c r="T71" s="24" t="s">
        <v>4</v>
      </c>
      <c r="U71" s="24" t="s">
        <v>4</v>
      </c>
      <c r="V71" s="24" t="s">
        <v>4</v>
      </c>
      <c r="W71" s="24" t="s">
        <v>4</v>
      </c>
      <c r="X71" s="24" t="s">
        <v>9</v>
      </c>
      <c r="Y71" s="24" t="s">
        <v>9</v>
      </c>
      <c r="Z71" s="24" t="s">
        <v>4</v>
      </c>
      <c r="AA71" s="24" t="s">
        <v>4</v>
      </c>
      <c r="AB71" s="24" t="s">
        <v>4</v>
      </c>
      <c r="AC71" s="24" t="s">
        <v>4</v>
      </c>
      <c r="AD71" s="24" t="s">
        <v>4</v>
      </c>
      <c r="AE71" s="24" t="s">
        <v>9</v>
      </c>
      <c r="AF71" s="24" t="s">
        <v>9</v>
      </c>
      <c r="AG71" s="24" t="s">
        <v>4</v>
      </c>
      <c r="AH71" s="24" t="s">
        <v>4</v>
      </c>
      <c r="AI71" s="24" t="s">
        <v>4</v>
      </c>
      <c r="AJ71" s="24"/>
    </row>
    <row r="72" spans="3:36" x14ac:dyDescent="0.25">
      <c r="C72" s="22"/>
      <c r="D72" s="23"/>
      <c r="F72" s="24" t="s">
        <v>20</v>
      </c>
      <c r="G72" s="24" t="s">
        <v>20</v>
      </c>
      <c r="H72" s="24" t="s">
        <v>20</v>
      </c>
      <c r="I72" s="24" t="s">
        <v>20</v>
      </c>
      <c r="J72" s="24" t="s">
        <v>9</v>
      </c>
      <c r="K72" s="24" t="s">
        <v>9</v>
      </c>
      <c r="L72" s="24" t="s">
        <v>20</v>
      </c>
      <c r="M72" s="24" t="s">
        <v>20</v>
      </c>
      <c r="N72" s="24" t="s">
        <v>20</v>
      </c>
      <c r="O72" s="24" t="s">
        <v>20</v>
      </c>
      <c r="P72" s="24" t="s">
        <v>20</v>
      </c>
      <c r="Q72" s="24" t="s">
        <v>9</v>
      </c>
      <c r="R72" s="24" t="s">
        <v>9</v>
      </c>
      <c r="S72" s="24" t="s">
        <v>20</v>
      </c>
      <c r="T72" s="24" t="s">
        <v>20</v>
      </c>
      <c r="U72" s="24" t="s">
        <v>20</v>
      </c>
      <c r="V72" s="24" t="s">
        <v>20</v>
      </c>
      <c r="W72" s="24" t="s">
        <v>20</v>
      </c>
      <c r="X72" s="24" t="s">
        <v>9</v>
      </c>
      <c r="Y72" s="24" t="s">
        <v>9</v>
      </c>
      <c r="Z72" s="24" t="s">
        <v>20</v>
      </c>
      <c r="AA72" s="24" t="s">
        <v>20</v>
      </c>
      <c r="AB72" s="24" t="s">
        <v>20</v>
      </c>
      <c r="AC72" s="24" t="s">
        <v>20</v>
      </c>
      <c r="AD72" s="24" t="s">
        <v>20</v>
      </c>
      <c r="AE72" s="24" t="s">
        <v>9</v>
      </c>
      <c r="AF72" s="24" t="s">
        <v>9</v>
      </c>
      <c r="AG72" s="24" t="s">
        <v>20</v>
      </c>
      <c r="AH72" s="24" t="s">
        <v>20</v>
      </c>
      <c r="AI72" s="24" t="s">
        <v>20</v>
      </c>
      <c r="AJ72" s="24"/>
    </row>
    <row r="73" spans="3:36" x14ac:dyDescent="0.25">
      <c r="C73" s="22"/>
      <c r="D73" s="23"/>
      <c r="F73" s="24" t="s">
        <v>4</v>
      </c>
      <c r="G73" s="24" t="s">
        <v>4</v>
      </c>
      <c r="H73" s="24" t="s">
        <v>4</v>
      </c>
      <c r="I73" s="24" t="s">
        <v>4</v>
      </c>
      <c r="J73" s="24" t="s">
        <v>9</v>
      </c>
      <c r="K73" s="24" t="s">
        <v>9</v>
      </c>
      <c r="L73" s="24" t="s">
        <v>4</v>
      </c>
      <c r="M73" s="24" t="s">
        <v>4</v>
      </c>
      <c r="N73" s="24" t="s">
        <v>4</v>
      </c>
      <c r="O73" s="24" t="s">
        <v>4</v>
      </c>
      <c r="P73" s="24" t="s">
        <v>4</v>
      </c>
      <c r="Q73" s="24" t="s">
        <v>9</v>
      </c>
      <c r="R73" s="24" t="s">
        <v>9</v>
      </c>
      <c r="S73" s="24" t="s">
        <v>4</v>
      </c>
      <c r="T73" s="24" t="s">
        <v>4</v>
      </c>
      <c r="U73" s="24" t="s">
        <v>4</v>
      </c>
      <c r="V73" s="24" t="s">
        <v>4</v>
      </c>
      <c r="W73" s="24" t="s">
        <v>4</v>
      </c>
      <c r="X73" s="24" t="s">
        <v>9</v>
      </c>
      <c r="Y73" s="24" t="s">
        <v>9</v>
      </c>
      <c r="Z73" s="24" t="s">
        <v>4</v>
      </c>
      <c r="AA73" s="24" t="s">
        <v>4</v>
      </c>
      <c r="AB73" s="24" t="s">
        <v>4</v>
      </c>
      <c r="AC73" s="24" t="s">
        <v>4</v>
      </c>
      <c r="AD73" s="24" t="s">
        <v>4</v>
      </c>
      <c r="AE73" s="24" t="s">
        <v>9</v>
      </c>
      <c r="AF73" s="24" t="s">
        <v>9</v>
      </c>
      <c r="AG73" s="24" t="s">
        <v>4</v>
      </c>
      <c r="AH73" s="24" t="s">
        <v>4</v>
      </c>
      <c r="AI73" s="24" t="s">
        <v>4</v>
      </c>
      <c r="AJ73" s="24"/>
    </row>
    <row r="74" spans="3:36" x14ac:dyDescent="0.25">
      <c r="C74" s="22"/>
      <c r="D74" s="23"/>
      <c r="F74" s="24" t="s">
        <v>4</v>
      </c>
      <c r="G74" s="24" t="s">
        <v>4</v>
      </c>
      <c r="H74" s="24" t="s">
        <v>4</v>
      </c>
      <c r="I74" s="24" t="s">
        <v>4</v>
      </c>
      <c r="J74" s="24" t="s">
        <v>9</v>
      </c>
      <c r="K74" s="24" t="s">
        <v>9</v>
      </c>
      <c r="L74" s="24" t="s">
        <v>4</v>
      </c>
      <c r="M74" s="24" t="s">
        <v>4</v>
      </c>
      <c r="N74" s="24" t="s">
        <v>4</v>
      </c>
      <c r="O74" s="24" t="s">
        <v>4</v>
      </c>
      <c r="P74" s="24" t="s">
        <v>4</v>
      </c>
      <c r="Q74" s="24" t="s">
        <v>9</v>
      </c>
      <c r="R74" s="24" t="s">
        <v>9</v>
      </c>
      <c r="S74" s="24" t="s">
        <v>4</v>
      </c>
      <c r="T74" s="24" t="s">
        <v>4</v>
      </c>
      <c r="U74" s="24" t="s">
        <v>4</v>
      </c>
      <c r="V74" s="24" t="s">
        <v>4</v>
      </c>
      <c r="W74" s="24" t="s">
        <v>4</v>
      </c>
      <c r="X74" s="24" t="s">
        <v>9</v>
      </c>
      <c r="Y74" s="24" t="s">
        <v>9</v>
      </c>
      <c r="Z74" s="24" t="s">
        <v>4</v>
      </c>
      <c r="AA74" s="24" t="s">
        <v>4</v>
      </c>
      <c r="AB74" s="24" t="s">
        <v>4</v>
      </c>
      <c r="AC74" s="24" t="s">
        <v>4</v>
      </c>
      <c r="AD74" s="24" t="s">
        <v>4</v>
      </c>
      <c r="AE74" s="24" t="s">
        <v>9</v>
      </c>
      <c r="AF74" s="24" t="s">
        <v>9</v>
      </c>
      <c r="AG74" s="24" t="s">
        <v>4</v>
      </c>
      <c r="AH74" s="24" t="s">
        <v>4</v>
      </c>
      <c r="AI74" s="24" t="s">
        <v>4</v>
      </c>
      <c r="AJ74" s="24"/>
    </row>
  </sheetData>
  <sheetProtection algorithmName="SHA-512" hashValue="W4wkzluVp9AlbjP/BrvILHWaB+H8rJda6LTg1g8InDOQs03O5kpBhqSlfNKT44vK0j4SyvnblESbZL8+T1Ysww==" saltValue="7oD9oPAOq1u3K0ew46mRYQ==" spinCount="100000" sheet="1" objects="1" scenarios="1"/>
  <mergeCells count="3">
    <mergeCell ref="AL17:AM21"/>
    <mergeCell ref="F2:AJ4"/>
    <mergeCell ref="AL22:AM22"/>
  </mergeCells>
  <conditionalFormatting sqref="F9:AJ74">
    <cfRule type="cellIs" dxfId="19" priority="1" operator="equal">
      <formula>"P"</formula>
    </cfRule>
    <cfRule type="cellIs" dxfId="18" priority="2" operator="equal">
      <formula>"A"</formula>
    </cfRule>
    <cfRule type="cellIs" dxfId="17" priority="3" operator="equal">
      <formula>"PA"</formula>
    </cfRule>
    <cfRule type="cellIs" dxfId="16" priority="4" operator="equal">
      <formula>"PSG"</formula>
    </cfRule>
    <cfRule type="cellIs" dxfId="15" priority="5" operator="equal">
      <formula>"CS"</formula>
    </cfRule>
    <cfRule type="cellIs" dxfId="14" priority="6" operator="equal">
      <formula>"PE"</formula>
    </cfRule>
    <cfRule type="cellIs" dxfId="13" priority="7" operator="equal">
      <formula>"F"</formula>
    </cfRule>
    <cfRule type="cellIs" dxfId="12" priority="8" operator="equal">
      <formula>"LM"</formula>
    </cfRule>
    <cfRule type="cellIs" dxfId="11" priority="9" operator="equal">
      <formula>"NCA"</formula>
    </cfRule>
    <cfRule type="expression" dxfId="10" priority="10">
      <formula>OR(F$7="S",F$7="D")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AE9AC6A-243C-4A3A-98FF-F12F5D0912B6}">
          <x14:formula1>
            <xm:f>DATOS!$G$2:$G$92</xm:f>
          </x14:formula1>
          <xm:sqref>C4</xm:sqref>
        </x14:dataValidation>
        <x14:dataValidation type="list" allowBlank="1" showInputMessage="1" showErrorMessage="1" xr:uid="{D72CE037-3FCD-423B-B87A-DD1FCE8806ED}">
          <x14:formula1>
            <xm:f>DATOS!$A$2:$A$13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2"/>
  <dimension ref="A3:AQ214"/>
  <sheetViews>
    <sheetView showGridLines="0" tabSelected="1" topLeftCell="L1" zoomScale="90" zoomScaleNormal="90" workbookViewId="0">
      <selection activeCell="J14" sqref="J14"/>
    </sheetView>
  </sheetViews>
  <sheetFormatPr baseColWidth="10" defaultColWidth="0" defaultRowHeight="15" x14ac:dyDescent="0.25"/>
  <cols>
    <col min="1" max="1" width="1.140625" style="27" customWidth="1"/>
    <col min="2" max="2" width="6" style="27" customWidth="1"/>
    <col min="3" max="3" width="16.7109375" style="27" customWidth="1"/>
    <col min="4" max="4" width="39.28515625" style="27" customWidth="1"/>
    <col min="5" max="5" width="2" style="27" customWidth="1"/>
    <col min="6" max="36" width="4.5703125" style="27" customWidth="1"/>
    <col min="37" max="37" width="43.140625" style="27" customWidth="1"/>
    <col min="38" max="38" width="2.42578125" style="27" customWidth="1"/>
    <col min="39" max="39" width="30.42578125" style="27" customWidth="1"/>
    <col min="40" max="40" width="7.5703125" style="27" customWidth="1"/>
    <col min="41" max="41" width="1.7109375" style="27" customWidth="1"/>
    <col min="42" max="43" width="4" style="27" hidden="1" customWidth="1"/>
    <col min="44" max="16384" width="11.42578125" style="27" hidden="1"/>
  </cols>
  <sheetData>
    <row r="3" spans="2:40" ht="9.75" customHeight="1" x14ac:dyDescent="0.25"/>
    <row r="4" spans="2:40" x14ac:dyDescent="0.25">
      <c r="B4" s="28" t="s">
        <v>0</v>
      </c>
      <c r="C4" s="18">
        <v>2025</v>
      </c>
      <c r="D4" s="26">
        <f>+EOMONTH(F8,0)</f>
        <v>45747</v>
      </c>
      <c r="F4" s="54" t="str">
        <f>CONCATENATE("Registro de Asistencia","-",VLOOKUP(C6,RBD[],2,0))</f>
        <v>Registro de Asistencia-Colegio Palestino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</row>
    <row r="5" spans="2:40" x14ac:dyDescent="0.25">
      <c r="B5" s="28" t="s">
        <v>1</v>
      </c>
      <c r="C5" s="18" t="s">
        <v>31</v>
      </c>
      <c r="D5" s="30">
        <f>VLOOKUP(C5,MES[],2,0)</f>
        <v>3</v>
      </c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</row>
    <row r="6" spans="2:40" x14ac:dyDescent="0.25">
      <c r="B6" s="28" t="s">
        <v>2</v>
      </c>
      <c r="C6" s="18">
        <v>9700</v>
      </c>
      <c r="D6" s="30">
        <f>DAY(D4)</f>
        <v>31</v>
      </c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</row>
    <row r="8" spans="2:40" s="30" customFormat="1" ht="45" hidden="1" x14ac:dyDescent="0.25">
      <c r="F8" s="31" t="str">
        <f t="shared" ref="F8:AJ8" si="0">+F10&amp;"/"&amp;$D$5&amp;"/"&amp;$C$4</f>
        <v>1/3/2025</v>
      </c>
      <c r="G8" s="31" t="str">
        <f t="shared" si="0"/>
        <v>2/3/2025</v>
      </c>
      <c r="H8" s="31" t="str">
        <f t="shared" si="0"/>
        <v>3/3/2025</v>
      </c>
      <c r="I8" s="31" t="str">
        <f t="shared" si="0"/>
        <v>4/3/2025</v>
      </c>
      <c r="J8" s="31" t="str">
        <f t="shared" si="0"/>
        <v>5/3/2025</v>
      </c>
      <c r="K8" s="31" t="str">
        <f t="shared" si="0"/>
        <v>6/3/2025</v>
      </c>
      <c r="L8" s="31" t="str">
        <f t="shared" si="0"/>
        <v>7/3/2025</v>
      </c>
      <c r="M8" s="31" t="str">
        <f t="shared" si="0"/>
        <v>8/3/2025</v>
      </c>
      <c r="N8" s="31" t="str">
        <f t="shared" si="0"/>
        <v>9/3/2025</v>
      </c>
      <c r="O8" s="31" t="str">
        <f t="shared" si="0"/>
        <v>10/3/2025</v>
      </c>
      <c r="P8" s="31" t="str">
        <f t="shared" si="0"/>
        <v>11/3/2025</v>
      </c>
      <c r="Q8" s="31" t="str">
        <f t="shared" si="0"/>
        <v>12/3/2025</v>
      </c>
      <c r="R8" s="31" t="str">
        <f t="shared" si="0"/>
        <v>13/3/2025</v>
      </c>
      <c r="S8" s="31" t="str">
        <f t="shared" si="0"/>
        <v>14/3/2025</v>
      </c>
      <c r="T8" s="31" t="str">
        <f t="shared" si="0"/>
        <v>15/3/2025</v>
      </c>
      <c r="U8" s="31" t="str">
        <f t="shared" si="0"/>
        <v>16/3/2025</v>
      </c>
      <c r="V8" s="31" t="str">
        <f t="shared" si="0"/>
        <v>17/3/2025</v>
      </c>
      <c r="W8" s="31" t="str">
        <f t="shared" si="0"/>
        <v>18/3/2025</v>
      </c>
      <c r="X8" s="31" t="str">
        <f t="shared" si="0"/>
        <v>19/3/2025</v>
      </c>
      <c r="Y8" s="31" t="str">
        <f t="shared" si="0"/>
        <v>20/3/2025</v>
      </c>
      <c r="Z8" s="31" t="str">
        <f t="shared" si="0"/>
        <v>21/3/2025</v>
      </c>
      <c r="AA8" s="31" t="str">
        <f t="shared" si="0"/>
        <v>22/3/2025</v>
      </c>
      <c r="AB8" s="31" t="str">
        <f t="shared" si="0"/>
        <v>23/3/2025</v>
      </c>
      <c r="AC8" s="31" t="str">
        <f t="shared" si="0"/>
        <v>24/3/2025</v>
      </c>
      <c r="AD8" s="31" t="str">
        <f t="shared" si="0"/>
        <v>25/3/2025</v>
      </c>
      <c r="AE8" s="31" t="str">
        <f t="shared" si="0"/>
        <v>26/3/2025</v>
      </c>
      <c r="AF8" s="31" t="str">
        <f t="shared" si="0"/>
        <v>27/3/2025</v>
      </c>
      <c r="AG8" s="31" t="str">
        <f t="shared" si="0"/>
        <v>28/3/2025</v>
      </c>
      <c r="AH8" s="31" t="str">
        <f t="shared" si="0"/>
        <v>29/3/2025</v>
      </c>
      <c r="AI8" s="31" t="str">
        <f t="shared" si="0"/>
        <v>30/3/2025</v>
      </c>
      <c r="AJ8" s="31" t="str">
        <f t="shared" si="0"/>
        <v>31/3/2025</v>
      </c>
    </row>
    <row r="9" spans="2:40" x14ac:dyDescent="0.25">
      <c r="C9" s="46" t="s">
        <v>133</v>
      </c>
      <c r="D9" s="46" t="s">
        <v>45</v>
      </c>
      <c r="F9" s="32" t="str">
        <f>+IFERROR(VLOOKUP(WEEKDAY(F8,2),DSEM[],2,FALSE),"")</f>
        <v>S</v>
      </c>
      <c r="G9" s="32" t="str">
        <f>+IFERROR(VLOOKUP(WEEKDAY(G8,2),DSEM[],2,FALSE),"")</f>
        <v>D</v>
      </c>
      <c r="H9" s="32" t="str">
        <f>+IFERROR(VLOOKUP(WEEKDAY(H8,2),DSEM[],2,FALSE),"")</f>
        <v>L</v>
      </c>
      <c r="I9" s="32" t="str">
        <f>+IFERROR(VLOOKUP(WEEKDAY(I8,2),DSEM[],2,FALSE),"")</f>
        <v>M</v>
      </c>
      <c r="J9" s="32" t="str">
        <f>+IFERROR(VLOOKUP(WEEKDAY(J8,2),DSEM[],2,FALSE),"")</f>
        <v>M</v>
      </c>
      <c r="K9" s="32" t="str">
        <f>+IFERROR(VLOOKUP(WEEKDAY(K8,2),DSEM[],2,FALSE),"")</f>
        <v>J</v>
      </c>
      <c r="L9" s="32" t="str">
        <f>+IFERROR(VLOOKUP(WEEKDAY(L8,2),DSEM[],2,FALSE),"")</f>
        <v>V</v>
      </c>
      <c r="M9" s="32" t="str">
        <f>+IFERROR(VLOOKUP(WEEKDAY(M8,2),DSEM[],2,FALSE),"")</f>
        <v>S</v>
      </c>
      <c r="N9" s="32" t="str">
        <f>+IFERROR(VLOOKUP(WEEKDAY(N8,2),DSEM[],2,FALSE),"")</f>
        <v>D</v>
      </c>
      <c r="O9" s="32" t="str">
        <f>+IFERROR(VLOOKUP(WEEKDAY(O8,2),DSEM[],2,FALSE),"")</f>
        <v>L</v>
      </c>
      <c r="P9" s="32" t="str">
        <f>+IFERROR(VLOOKUP(WEEKDAY(P8,2),DSEM[],2,FALSE),"")</f>
        <v>M</v>
      </c>
      <c r="Q9" s="32" t="str">
        <f>+IFERROR(VLOOKUP(WEEKDAY(Q8,2),DSEM[],2,FALSE),"")</f>
        <v>M</v>
      </c>
      <c r="R9" s="32" t="str">
        <f>+IFERROR(VLOOKUP(WEEKDAY(R8,2),DSEM[],2,FALSE),"")</f>
        <v>J</v>
      </c>
      <c r="S9" s="32" t="str">
        <f>+IFERROR(VLOOKUP(WEEKDAY(S8,2),DSEM[],2,FALSE),"")</f>
        <v>V</v>
      </c>
      <c r="T9" s="32" t="str">
        <f>+IFERROR(VLOOKUP(WEEKDAY(T8,2),DSEM[],2,FALSE),"")</f>
        <v>S</v>
      </c>
      <c r="U9" s="32" t="str">
        <f>+IFERROR(VLOOKUP(WEEKDAY(U8,2),DSEM[],2,FALSE),"")</f>
        <v>D</v>
      </c>
      <c r="V9" s="32" t="str">
        <f>+IFERROR(VLOOKUP(WEEKDAY(V8,2),DSEM[],2,FALSE),"")</f>
        <v>L</v>
      </c>
      <c r="W9" s="32" t="str">
        <f>+IFERROR(VLOOKUP(WEEKDAY(W8,2),DSEM[],2,FALSE),"")</f>
        <v>M</v>
      </c>
      <c r="X9" s="32" t="str">
        <f>+IFERROR(VLOOKUP(WEEKDAY(X8,2),DSEM[],2,FALSE),"")</f>
        <v>M</v>
      </c>
      <c r="Y9" s="32" t="str">
        <f>+IFERROR(VLOOKUP(WEEKDAY(Y8,2),DSEM[],2,FALSE),"")</f>
        <v>J</v>
      </c>
      <c r="Z9" s="32" t="str">
        <f>+IFERROR(VLOOKUP(WEEKDAY(Z8,2),DSEM[],2,FALSE),"")</f>
        <v>V</v>
      </c>
      <c r="AA9" s="32" t="str">
        <f>+IFERROR(VLOOKUP(WEEKDAY(AA8,2),DSEM[],2,FALSE),"")</f>
        <v>S</v>
      </c>
      <c r="AB9" s="32" t="str">
        <f>+IFERROR(VLOOKUP(WEEKDAY(AB8,2),DSEM[],2,FALSE),"")</f>
        <v>D</v>
      </c>
      <c r="AC9" s="32" t="str">
        <f>+IFERROR(VLOOKUP(WEEKDAY(AC8,2),DSEM[],2,FALSE),"")</f>
        <v>L</v>
      </c>
      <c r="AD9" s="32" t="str">
        <f>+IFERROR(VLOOKUP(WEEKDAY(AD8,2),DSEM[],2,FALSE),"")</f>
        <v>M</v>
      </c>
      <c r="AE9" s="32" t="str">
        <f>+IFERROR(VLOOKUP(WEEKDAY(AE8,2),DSEM[],2,FALSE),"")</f>
        <v>M</v>
      </c>
      <c r="AF9" s="32" t="str">
        <f>+IFERROR(VLOOKUP(WEEKDAY(AF8,2),DSEM[],2,FALSE),"")</f>
        <v>J</v>
      </c>
      <c r="AG9" s="32" t="str">
        <f>+IFERROR(VLOOKUP(WEEKDAY(AG8,2),DSEM[],2,FALSE),"")</f>
        <v>V</v>
      </c>
      <c r="AH9" s="32" t="str">
        <f>+IFERROR(VLOOKUP(WEEKDAY(AH8,2),DSEM[],2,FALSE),"")</f>
        <v>S</v>
      </c>
      <c r="AI9" s="32" t="str">
        <f>+IFERROR(VLOOKUP(WEEKDAY(AI8,2),DSEM[],2,FALSE),"")</f>
        <v>D</v>
      </c>
      <c r="AJ9" s="32" t="str">
        <f>+IFERROR(VLOOKUP(WEEKDAY(AJ8,2),DSEM[],2,FALSE),"")</f>
        <v>L</v>
      </c>
      <c r="AK9" s="57" t="s">
        <v>150</v>
      </c>
      <c r="AM9" s="33" t="s">
        <v>3</v>
      </c>
      <c r="AN9" s="29" t="s">
        <v>4</v>
      </c>
    </row>
    <row r="10" spans="2:40" x14ac:dyDescent="0.25">
      <c r="C10" s="47"/>
      <c r="D10" s="47"/>
      <c r="F10" s="34">
        <v>1</v>
      </c>
      <c r="G10" s="34">
        <f t="shared" ref="G10:AJ10" si="1">IF((F10+1)&lt;=$D$6,(F10+1),"")</f>
        <v>2</v>
      </c>
      <c r="H10" s="34">
        <f t="shared" si="1"/>
        <v>3</v>
      </c>
      <c r="I10" s="34">
        <f t="shared" si="1"/>
        <v>4</v>
      </c>
      <c r="J10" s="34">
        <f t="shared" si="1"/>
        <v>5</v>
      </c>
      <c r="K10" s="34">
        <f t="shared" si="1"/>
        <v>6</v>
      </c>
      <c r="L10" s="34">
        <f t="shared" si="1"/>
        <v>7</v>
      </c>
      <c r="M10" s="34">
        <f t="shared" si="1"/>
        <v>8</v>
      </c>
      <c r="N10" s="34">
        <f t="shared" si="1"/>
        <v>9</v>
      </c>
      <c r="O10" s="34">
        <f t="shared" si="1"/>
        <v>10</v>
      </c>
      <c r="P10" s="34">
        <f t="shared" si="1"/>
        <v>11</v>
      </c>
      <c r="Q10" s="34">
        <f t="shared" si="1"/>
        <v>12</v>
      </c>
      <c r="R10" s="34">
        <f t="shared" si="1"/>
        <v>13</v>
      </c>
      <c r="S10" s="34">
        <f t="shared" si="1"/>
        <v>14</v>
      </c>
      <c r="T10" s="34">
        <f t="shared" si="1"/>
        <v>15</v>
      </c>
      <c r="U10" s="34">
        <f t="shared" si="1"/>
        <v>16</v>
      </c>
      <c r="V10" s="34">
        <f t="shared" si="1"/>
        <v>17</v>
      </c>
      <c r="W10" s="34">
        <f t="shared" si="1"/>
        <v>18</v>
      </c>
      <c r="X10" s="34">
        <f t="shared" si="1"/>
        <v>19</v>
      </c>
      <c r="Y10" s="34">
        <f t="shared" si="1"/>
        <v>20</v>
      </c>
      <c r="Z10" s="34">
        <f t="shared" si="1"/>
        <v>21</v>
      </c>
      <c r="AA10" s="34">
        <f t="shared" si="1"/>
        <v>22</v>
      </c>
      <c r="AB10" s="34">
        <f t="shared" si="1"/>
        <v>23</v>
      </c>
      <c r="AC10" s="34">
        <f t="shared" si="1"/>
        <v>24</v>
      </c>
      <c r="AD10" s="34">
        <f t="shared" si="1"/>
        <v>25</v>
      </c>
      <c r="AE10" s="34">
        <f t="shared" si="1"/>
        <v>26</v>
      </c>
      <c r="AF10" s="34">
        <f t="shared" si="1"/>
        <v>27</v>
      </c>
      <c r="AG10" s="34">
        <f t="shared" si="1"/>
        <v>28</v>
      </c>
      <c r="AH10" s="34">
        <f t="shared" si="1"/>
        <v>29</v>
      </c>
      <c r="AI10" s="34">
        <f t="shared" si="1"/>
        <v>30</v>
      </c>
      <c r="AJ10" s="34">
        <f t="shared" si="1"/>
        <v>31</v>
      </c>
      <c r="AK10" s="58"/>
      <c r="AM10" s="33" t="s">
        <v>145</v>
      </c>
      <c r="AN10" s="29" t="s">
        <v>8</v>
      </c>
    </row>
    <row r="11" spans="2:40" x14ac:dyDescent="0.25">
      <c r="C11" s="19"/>
      <c r="D11" s="20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36"/>
      <c r="AM11" s="33" t="s">
        <v>10</v>
      </c>
      <c r="AN11" s="29" t="s">
        <v>11</v>
      </c>
    </row>
    <row r="12" spans="2:40" x14ac:dyDescent="0.25">
      <c r="C12" s="19"/>
      <c r="D12" s="20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36"/>
      <c r="AM12" s="33" t="s">
        <v>146</v>
      </c>
      <c r="AN12" s="29" t="s">
        <v>148</v>
      </c>
    </row>
    <row r="13" spans="2:40" x14ac:dyDescent="0.25">
      <c r="C13" s="19"/>
      <c r="D13" s="20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36"/>
      <c r="AM13" s="33" t="s">
        <v>147</v>
      </c>
      <c r="AN13" s="29" t="s">
        <v>149</v>
      </c>
    </row>
    <row r="14" spans="2:40" x14ac:dyDescent="0.25">
      <c r="C14" s="19"/>
      <c r="D14" s="20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36"/>
      <c r="AM14" s="33" t="s">
        <v>12</v>
      </c>
      <c r="AN14" s="29" t="s">
        <v>13</v>
      </c>
    </row>
    <row r="15" spans="2:40" x14ac:dyDescent="0.25">
      <c r="C15" s="19"/>
      <c r="D15" s="20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36"/>
      <c r="AM15" s="33" t="s">
        <v>16</v>
      </c>
      <c r="AN15" s="29" t="s">
        <v>17</v>
      </c>
    </row>
    <row r="16" spans="2:40" x14ac:dyDescent="0.25">
      <c r="C16" s="19"/>
      <c r="D16" s="20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36"/>
      <c r="AM16" s="33" t="s">
        <v>18</v>
      </c>
      <c r="AN16" s="29" t="s">
        <v>9</v>
      </c>
    </row>
    <row r="17" spans="3:40" x14ac:dyDescent="0.25">
      <c r="C17" s="19"/>
      <c r="D17" s="20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36"/>
      <c r="AM17" s="33" t="s">
        <v>19</v>
      </c>
      <c r="AN17" s="29" t="s">
        <v>20</v>
      </c>
    </row>
    <row r="18" spans="3:40" x14ac:dyDescent="0.25">
      <c r="C18" s="19"/>
      <c r="D18" s="20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36"/>
      <c r="AM18" s="33" t="s">
        <v>21</v>
      </c>
      <c r="AN18" s="29" t="s">
        <v>22</v>
      </c>
    </row>
    <row r="19" spans="3:40" x14ac:dyDescent="0.25">
      <c r="C19" s="19"/>
      <c r="D19" s="20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36"/>
      <c r="AM19" s="33" t="s">
        <v>153</v>
      </c>
      <c r="AN19" s="29" t="s">
        <v>30</v>
      </c>
    </row>
    <row r="20" spans="3:40" ht="15" customHeight="1" x14ac:dyDescent="0.25">
      <c r="C20" s="19"/>
      <c r="D20" s="20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36"/>
      <c r="AM20" s="33" t="s">
        <v>151</v>
      </c>
      <c r="AN20" s="29" t="s">
        <v>152</v>
      </c>
    </row>
    <row r="21" spans="3:40" ht="15" customHeight="1" x14ac:dyDescent="0.25">
      <c r="C21" s="19"/>
      <c r="D21" s="20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36"/>
    </row>
    <row r="22" spans="3:40" ht="15" customHeight="1" x14ac:dyDescent="0.25">
      <c r="C22" s="19"/>
      <c r="D22" s="20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36"/>
      <c r="AM22" s="48" t="s">
        <v>23</v>
      </c>
      <c r="AN22" s="49"/>
    </row>
    <row r="23" spans="3:40" ht="15" customHeight="1" x14ac:dyDescent="0.25">
      <c r="C23" s="19"/>
      <c r="D23" s="20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36"/>
      <c r="AM23" s="50"/>
      <c r="AN23" s="51"/>
    </row>
    <row r="24" spans="3:40" ht="15" customHeight="1" x14ac:dyDescent="0.25">
      <c r="C24" s="19"/>
      <c r="D24" s="20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36"/>
      <c r="AM24" s="50"/>
      <c r="AN24" s="51"/>
    </row>
    <row r="25" spans="3:40" x14ac:dyDescent="0.25">
      <c r="C25" s="19"/>
      <c r="D25" s="20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36"/>
      <c r="AM25" s="50"/>
      <c r="AN25" s="51"/>
    </row>
    <row r="26" spans="3:40" x14ac:dyDescent="0.25">
      <c r="C26" s="19"/>
      <c r="D26" s="20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36"/>
      <c r="AM26" s="52"/>
      <c r="AN26" s="53"/>
    </row>
    <row r="27" spans="3:40" ht="15.75" customHeight="1" x14ac:dyDescent="0.25">
      <c r="C27" s="19"/>
      <c r="D27" s="20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36"/>
      <c r="AM27" s="56" t="s">
        <v>144</v>
      </c>
      <c r="AN27" s="53"/>
    </row>
    <row r="28" spans="3:40" x14ac:dyDescent="0.25">
      <c r="C28" s="19"/>
      <c r="D28" s="20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36"/>
    </row>
    <row r="29" spans="3:40" x14ac:dyDescent="0.25">
      <c r="C29" s="19"/>
      <c r="D29" s="20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36"/>
    </row>
    <row r="30" spans="3:40" x14ac:dyDescent="0.25">
      <c r="C30" s="19"/>
      <c r="D30" s="20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36"/>
    </row>
    <row r="31" spans="3:40" x14ac:dyDescent="0.25">
      <c r="C31" s="19"/>
      <c r="D31" s="20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36"/>
    </row>
    <row r="32" spans="3:40" x14ac:dyDescent="0.25">
      <c r="C32" s="19"/>
      <c r="D32" s="20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36"/>
    </row>
    <row r="33" spans="3:37" x14ac:dyDescent="0.25">
      <c r="C33" s="19"/>
      <c r="D33" s="20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36"/>
    </row>
    <row r="34" spans="3:37" x14ac:dyDescent="0.25">
      <c r="C34" s="19"/>
      <c r="D34" s="20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36"/>
    </row>
    <row r="35" spans="3:37" x14ac:dyDescent="0.25">
      <c r="C35" s="19"/>
      <c r="D35" s="20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36"/>
    </row>
    <row r="36" spans="3:37" x14ac:dyDescent="0.25">
      <c r="C36" s="19"/>
      <c r="D36" s="20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36"/>
    </row>
    <row r="37" spans="3:37" x14ac:dyDescent="0.25">
      <c r="C37" s="19"/>
      <c r="D37" s="20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36"/>
    </row>
    <row r="38" spans="3:37" x14ac:dyDescent="0.25">
      <c r="C38" s="19"/>
      <c r="D38" s="20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36"/>
    </row>
    <row r="39" spans="3:37" x14ac:dyDescent="0.25">
      <c r="C39" s="19"/>
      <c r="D39" s="20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36"/>
    </row>
    <row r="40" spans="3:37" x14ac:dyDescent="0.25">
      <c r="C40" s="19"/>
      <c r="D40" s="20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36"/>
    </row>
    <row r="41" spans="3:37" x14ac:dyDescent="0.25">
      <c r="C41" s="19"/>
      <c r="D41" s="20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36"/>
    </row>
    <row r="42" spans="3:37" x14ac:dyDescent="0.25">
      <c r="C42" s="19"/>
      <c r="D42" s="20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36"/>
    </row>
    <row r="43" spans="3:37" x14ac:dyDescent="0.25">
      <c r="C43" s="19"/>
      <c r="D43" s="20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36"/>
    </row>
    <row r="44" spans="3:37" x14ac:dyDescent="0.25">
      <c r="C44" s="19"/>
      <c r="D44" s="20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36"/>
    </row>
    <row r="45" spans="3:37" x14ac:dyDescent="0.25">
      <c r="C45" s="19"/>
      <c r="D45" s="20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36"/>
    </row>
    <row r="46" spans="3:37" x14ac:dyDescent="0.25">
      <c r="C46" s="19"/>
      <c r="D46" s="20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36"/>
    </row>
    <row r="47" spans="3:37" x14ac:dyDescent="0.25">
      <c r="C47" s="19"/>
      <c r="D47" s="20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36"/>
    </row>
    <row r="48" spans="3:37" x14ac:dyDescent="0.25">
      <c r="C48" s="19"/>
      <c r="D48" s="20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36"/>
    </row>
    <row r="49" spans="3:37" x14ac:dyDescent="0.25">
      <c r="C49" s="19"/>
      <c r="D49" s="20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36"/>
    </row>
    <row r="50" spans="3:37" x14ac:dyDescent="0.25">
      <c r="C50" s="19"/>
      <c r="D50" s="20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36"/>
    </row>
    <row r="51" spans="3:37" x14ac:dyDescent="0.25">
      <c r="C51" s="19"/>
      <c r="D51" s="20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36"/>
    </row>
    <row r="52" spans="3:37" x14ac:dyDescent="0.25">
      <c r="C52" s="19"/>
      <c r="D52" s="20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36"/>
    </row>
    <row r="53" spans="3:37" x14ac:dyDescent="0.25">
      <c r="C53" s="19"/>
      <c r="D53" s="20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36"/>
    </row>
    <row r="54" spans="3:37" x14ac:dyDescent="0.25">
      <c r="C54" s="19"/>
      <c r="D54" s="20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36"/>
    </row>
    <row r="55" spans="3:37" x14ac:dyDescent="0.25">
      <c r="C55" s="19"/>
      <c r="D55" s="20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36"/>
    </row>
    <row r="56" spans="3:37" x14ac:dyDescent="0.25">
      <c r="C56" s="19"/>
      <c r="D56" s="20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36"/>
    </row>
    <row r="57" spans="3:37" x14ac:dyDescent="0.25">
      <c r="C57" s="19"/>
      <c r="D57" s="20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36"/>
    </row>
    <row r="58" spans="3:37" x14ac:dyDescent="0.25">
      <c r="C58" s="19"/>
      <c r="D58" s="20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36"/>
    </row>
    <row r="59" spans="3:37" x14ac:dyDescent="0.25">
      <c r="C59" s="19"/>
      <c r="D59" s="20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36"/>
    </row>
    <row r="60" spans="3:37" x14ac:dyDescent="0.25">
      <c r="C60" s="19"/>
      <c r="D60" s="20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36"/>
    </row>
    <row r="61" spans="3:37" x14ac:dyDescent="0.25">
      <c r="C61" s="19"/>
      <c r="D61" s="20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36"/>
    </row>
    <row r="62" spans="3:37" x14ac:dyDescent="0.25">
      <c r="C62" s="19"/>
      <c r="D62" s="20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36"/>
    </row>
    <row r="63" spans="3:37" x14ac:dyDescent="0.25">
      <c r="C63" s="19"/>
      <c r="D63" s="20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36"/>
    </row>
    <row r="64" spans="3:37" x14ac:dyDescent="0.25">
      <c r="C64" s="19"/>
      <c r="D64" s="20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36"/>
    </row>
    <row r="65" spans="3:37" x14ac:dyDescent="0.25">
      <c r="C65" s="19"/>
      <c r="D65" s="20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36"/>
    </row>
    <row r="66" spans="3:37" x14ac:dyDescent="0.25">
      <c r="C66" s="19"/>
      <c r="D66" s="20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36"/>
    </row>
    <row r="67" spans="3:37" x14ac:dyDescent="0.25">
      <c r="C67" s="19"/>
      <c r="D67" s="20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36"/>
    </row>
    <row r="68" spans="3:37" x14ac:dyDescent="0.25">
      <c r="C68" s="19"/>
      <c r="D68" s="20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36"/>
    </row>
    <row r="69" spans="3:37" x14ac:dyDescent="0.25">
      <c r="C69" s="19"/>
      <c r="D69" s="20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36"/>
    </row>
    <row r="70" spans="3:37" x14ac:dyDescent="0.25">
      <c r="C70" s="19"/>
      <c r="D70" s="20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36"/>
    </row>
    <row r="71" spans="3:37" x14ac:dyDescent="0.25">
      <c r="C71" s="19"/>
      <c r="D71" s="20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36"/>
    </row>
    <row r="72" spans="3:37" x14ac:dyDescent="0.25">
      <c r="C72" s="19"/>
      <c r="D72" s="20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36"/>
    </row>
    <row r="73" spans="3:37" x14ac:dyDescent="0.25">
      <c r="C73" s="19"/>
      <c r="D73" s="20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36"/>
    </row>
    <row r="74" spans="3:37" x14ac:dyDescent="0.25">
      <c r="C74" s="19"/>
      <c r="D74" s="20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36"/>
    </row>
    <row r="75" spans="3:37" x14ac:dyDescent="0.25">
      <c r="C75" s="19"/>
      <c r="D75" s="20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36"/>
    </row>
    <row r="76" spans="3:37" x14ac:dyDescent="0.25">
      <c r="C76" s="19"/>
      <c r="D76" s="20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36"/>
    </row>
    <row r="77" spans="3:37" x14ac:dyDescent="0.25">
      <c r="C77" s="19"/>
      <c r="D77" s="20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36"/>
    </row>
    <row r="78" spans="3:37" x14ac:dyDescent="0.25">
      <c r="C78" s="19"/>
      <c r="D78" s="20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36"/>
    </row>
    <row r="79" spans="3:37" x14ac:dyDescent="0.25">
      <c r="C79" s="19"/>
      <c r="D79" s="20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36"/>
    </row>
    <row r="80" spans="3:37" x14ac:dyDescent="0.25">
      <c r="C80" s="19"/>
      <c r="D80" s="20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36"/>
    </row>
    <row r="81" spans="3:37" x14ac:dyDescent="0.25">
      <c r="C81" s="19"/>
      <c r="D81" s="20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36"/>
    </row>
    <row r="82" spans="3:37" x14ac:dyDescent="0.25">
      <c r="C82" s="19"/>
      <c r="D82" s="20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36"/>
    </row>
    <row r="83" spans="3:37" x14ac:dyDescent="0.25">
      <c r="C83" s="19"/>
      <c r="D83" s="20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36"/>
    </row>
    <row r="84" spans="3:37" x14ac:dyDescent="0.25">
      <c r="C84" s="19"/>
      <c r="D84" s="20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36"/>
    </row>
    <row r="85" spans="3:37" x14ac:dyDescent="0.25">
      <c r="C85" s="19"/>
      <c r="D85" s="20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36"/>
    </row>
    <row r="86" spans="3:37" x14ac:dyDescent="0.25">
      <c r="C86" s="19"/>
      <c r="D86" s="20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36"/>
    </row>
    <row r="87" spans="3:37" x14ac:dyDescent="0.25">
      <c r="C87" s="19"/>
      <c r="D87" s="20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36"/>
    </row>
    <row r="88" spans="3:37" x14ac:dyDescent="0.25">
      <c r="C88" s="19"/>
      <c r="D88" s="20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36"/>
    </row>
    <row r="89" spans="3:37" x14ac:dyDescent="0.25">
      <c r="C89" s="19"/>
      <c r="D89" s="20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36"/>
    </row>
    <row r="90" spans="3:37" x14ac:dyDescent="0.25">
      <c r="C90" s="19"/>
      <c r="D90" s="20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36"/>
    </row>
    <row r="91" spans="3:37" x14ac:dyDescent="0.25">
      <c r="C91" s="19"/>
      <c r="D91" s="20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36"/>
    </row>
    <row r="92" spans="3:37" x14ac:dyDescent="0.25">
      <c r="C92" s="19"/>
      <c r="D92" s="20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36"/>
    </row>
    <row r="93" spans="3:37" x14ac:dyDescent="0.25">
      <c r="C93" s="19"/>
      <c r="D93" s="20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36"/>
    </row>
    <row r="94" spans="3:37" x14ac:dyDescent="0.25">
      <c r="C94" s="19"/>
      <c r="D94" s="20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36"/>
    </row>
    <row r="95" spans="3:37" x14ac:dyDescent="0.25">
      <c r="C95" s="19"/>
      <c r="D95" s="20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36"/>
    </row>
    <row r="96" spans="3:37" x14ac:dyDescent="0.25">
      <c r="C96" s="19"/>
      <c r="D96" s="20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36"/>
    </row>
    <row r="97" spans="3:37" x14ac:dyDescent="0.25">
      <c r="C97" s="19"/>
      <c r="D97" s="20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36"/>
    </row>
    <row r="98" spans="3:37" x14ac:dyDescent="0.25">
      <c r="C98" s="19"/>
      <c r="D98" s="20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36"/>
    </row>
    <row r="99" spans="3:37" x14ac:dyDescent="0.25">
      <c r="C99" s="19"/>
      <c r="D99" s="20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36"/>
    </row>
    <row r="100" spans="3:37" x14ac:dyDescent="0.25">
      <c r="C100" s="19"/>
      <c r="D100" s="20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36"/>
    </row>
    <row r="101" spans="3:37" x14ac:dyDescent="0.25">
      <c r="C101" s="19"/>
      <c r="D101" s="20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36"/>
    </row>
    <row r="102" spans="3:37" x14ac:dyDescent="0.25">
      <c r="C102" s="19"/>
      <c r="D102" s="20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36"/>
    </row>
    <row r="103" spans="3:37" x14ac:dyDescent="0.25">
      <c r="C103" s="19"/>
      <c r="D103" s="20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36"/>
    </row>
    <row r="104" spans="3:37" x14ac:dyDescent="0.25">
      <c r="C104" s="19"/>
      <c r="D104" s="20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36"/>
    </row>
    <row r="105" spans="3:37" x14ac:dyDescent="0.25">
      <c r="C105" s="19"/>
      <c r="D105" s="20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36"/>
    </row>
    <row r="106" spans="3:37" x14ac:dyDescent="0.25">
      <c r="C106" s="19"/>
      <c r="D106" s="20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36"/>
    </row>
    <row r="107" spans="3:37" x14ac:dyDescent="0.25">
      <c r="C107" s="19"/>
      <c r="D107" s="20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36"/>
    </row>
    <row r="108" spans="3:37" x14ac:dyDescent="0.25">
      <c r="C108" s="19"/>
      <c r="D108" s="20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36"/>
    </row>
    <row r="109" spans="3:37" x14ac:dyDescent="0.25">
      <c r="C109" s="19"/>
      <c r="D109" s="20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36"/>
    </row>
    <row r="110" spans="3:37" x14ac:dyDescent="0.25">
      <c r="C110" s="19"/>
      <c r="D110" s="20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36"/>
    </row>
    <row r="111" spans="3:37" x14ac:dyDescent="0.25">
      <c r="C111" s="19"/>
      <c r="D111" s="20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36"/>
    </row>
    <row r="112" spans="3:37" x14ac:dyDescent="0.25">
      <c r="C112" s="19"/>
      <c r="D112" s="20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36"/>
    </row>
    <row r="113" spans="3:37" x14ac:dyDescent="0.25">
      <c r="C113" s="19"/>
      <c r="D113" s="20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36"/>
    </row>
    <row r="114" spans="3:37" x14ac:dyDescent="0.25">
      <c r="C114" s="19"/>
      <c r="D114" s="20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36"/>
    </row>
    <row r="115" spans="3:37" x14ac:dyDescent="0.25">
      <c r="C115" s="19"/>
      <c r="D115" s="20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36"/>
    </row>
    <row r="116" spans="3:37" x14ac:dyDescent="0.25">
      <c r="C116" s="19"/>
      <c r="D116" s="20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36"/>
    </row>
    <row r="117" spans="3:37" x14ac:dyDescent="0.25">
      <c r="C117" s="19"/>
      <c r="D117" s="20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36"/>
    </row>
    <row r="118" spans="3:37" x14ac:dyDescent="0.25">
      <c r="C118" s="19"/>
      <c r="D118" s="20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36"/>
    </row>
    <row r="119" spans="3:37" x14ac:dyDescent="0.25">
      <c r="C119" s="19"/>
      <c r="D119" s="20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36"/>
    </row>
    <row r="120" spans="3:37" x14ac:dyDescent="0.25">
      <c r="C120" s="19"/>
      <c r="D120" s="20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36"/>
    </row>
    <row r="121" spans="3:37" x14ac:dyDescent="0.25">
      <c r="C121" s="19"/>
      <c r="D121" s="20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36"/>
    </row>
    <row r="122" spans="3:37" x14ac:dyDescent="0.25">
      <c r="C122" s="19"/>
      <c r="D122" s="20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36"/>
    </row>
    <row r="123" spans="3:37" x14ac:dyDescent="0.25">
      <c r="C123" s="19"/>
      <c r="D123" s="20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36"/>
    </row>
    <row r="124" spans="3:37" x14ac:dyDescent="0.25">
      <c r="C124" s="19"/>
      <c r="D124" s="20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36"/>
    </row>
    <row r="125" spans="3:37" x14ac:dyDescent="0.25">
      <c r="C125" s="19"/>
      <c r="D125" s="20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36"/>
    </row>
    <row r="126" spans="3:37" x14ac:dyDescent="0.25">
      <c r="C126" s="19"/>
      <c r="D126" s="20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36"/>
    </row>
    <row r="127" spans="3:37" x14ac:dyDescent="0.25">
      <c r="C127" s="19"/>
      <c r="D127" s="20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36"/>
    </row>
    <row r="128" spans="3:37" x14ac:dyDescent="0.25">
      <c r="C128" s="19"/>
      <c r="D128" s="20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36"/>
    </row>
    <row r="129" spans="3:37" x14ac:dyDescent="0.25">
      <c r="C129" s="19"/>
      <c r="D129" s="20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36"/>
    </row>
    <row r="130" spans="3:37" x14ac:dyDescent="0.25">
      <c r="C130" s="19"/>
      <c r="D130" s="20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36"/>
    </row>
    <row r="131" spans="3:37" x14ac:dyDescent="0.25">
      <c r="C131" s="19"/>
      <c r="D131" s="20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36"/>
    </row>
    <row r="132" spans="3:37" x14ac:dyDescent="0.25">
      <c r="C132" s="19"/>
      <c r="D132" s="20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36"/>
    </row>
    <row r="133" spans="3:37" x14ac:dyDescent="0.25">
      <c r="C133" s="19"/>
      <c r="D133" s="20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36"/>
    </row>
    <row r="134" spans="3:37" x14ac:dyDescent="0.25">
      <c r="C134" s="19"/>
      <c r="D134" s="20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36"/>
    </row>
    <row r="135" spans="3:37" x14ac:dyDescent="0.25">
      <c r="C135" s="19"/>
      <c r="D135" s="20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36"/>
    </row>
    <row r="136" spans="3:37" x14ac:dyDescent="0.25">
      <c r="C136" s="19"/>
      <c r="D136" s="20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36"/>
    </row>
    <row r="137" spans="3:37" x14ac:dyDescent="0.25">
      <c r="C137" s="19"/>
      <c r="D137" s="20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36"/>
    </row>
    <row r="138" spans="3:37" x14ac:dyDescent="0.25">
      <c r="C138" s="19"/>
      <c r="D138" s="20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36"/>
    </row>
    <row r="139" spans="3:37" x14ac:dyDescent="0.25">
      <c r="C139" s="19"/>
      <c r="D139" s="20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36"/>
    </row>
    <row r="140" spans="3:37" x14ac:dyDescent="0.25">
      <c r="C140" s="19"/>
      <c r="D140" s="20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36"/>
    </row>
    <row r="141" spans="3:37" x14ac:dyDescent="0.25">
      <c r="C141" s="19"/>
      <c r="D141" s="20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36"/>
    </row>
    <row r="142" spans="3:37" x14ac:dyDescent="0.25">
      <c r="C142" s="19"/>
      <c r="D142" s="20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36"/>
    </row>
    <row r="143" spans="3:37" x14ac:dyDescent="0.25">
      <c r="C143" s="19"/>
      <c r="D143" s="20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36"/>
    </row>
    <row r="144" spans="3:37" x14ac:dyDescent="0.25">
      <c r="C144" s="19"/>
      <c r="D144" s="20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36"/>
    </row>
    <row r="145" spans="3:37" x14ac:dyDescent="0.25">
      <c r="C145" s="19"/>
      <c r="D145" s="20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36"/>
    </row>
    <row r="146" spans="3:37" x14ac:dyDescent="0.25">
      <c r="C146" s="19"/>
      <c r="D146" s="20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36"/>
    </row>
    <row r="147" spans="3:37" x14ac:dyDescent="0.25">
      <c r="C147" s="19"/>
      <c r="D147" s="20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36"/>
    </row>
    <row r="148" spans="3:37" x14ac:dyDescent="0.25">
      <c r="C148" s="19"/>
      <c r="D148" s="20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36"/>
    </row>
    <row r="149" spans="3:37" x14ac:dyDescent="0.25">
      <c r="C149" s="19"/>
      <c r="D149" s="20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36"/>
    </row>
    <row r="150" spans="3:37" x14ac:dyDescent="0.25">
      <c r="C150" s="19"/>
      <c r="D150" s="20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36"/>
    </row>
    <row r="151" spans="3:37" x14ac:dyDescent="0.25">
      <c r="C151" s="19"/>
      <c r="D151" s="20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36"/>
    </row>
    <row r="152" spans="3:37" x14ac:dyDescent="0.25">
      <c r="C152" s="19"/>
      <c r="D152" s="20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36"/>
    </row>
    <row r="153" spans="3:37" x14ac:dyDescent="0.25">
      <c r="C153" s="19"/>
      <c r="D153" s="20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36"/>
    </row>
    <row r="154" spans="3:37" x14ac:dyDescent="0.25">
      <c r="C154" s="19"/>
      <c r="D154" s="20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36"/>
    </row>
    <row r="155" spans="3:37" x14ac:dyDescent="0.25">
      <c r="C155" s="19"/>
      <c r="D155" s="20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36"/>
    </row>
    <row r="156" spans="3:37" x14ac:dyDescent="0.25">
      <c r="C156" s="19"/>
      <c r="D156" s="20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36"/>
    </row>
    <row r="157" spans="3:37" x14ac:dyDescent="0.25">
      <c r="C157" s="19"/>
      <c r="D157" s="20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36"/>
    </row>
    <row r="158" spans="3:37" x14ac:dyDescent="0.25">
      <c r="C158" s="19"/>
      <c r="D158" s="20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36"/>
    </row>
    <row r="159" spans="3:37" x14ac:dyDescent="0.25">
      <c r="C159" s="19"/>
      <c r="D159" s="20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36"/>
    </row>
    <row r="160" spans="3:37" x14ac:dyDescent="0.25">
      <c r="C160" s="19"/>
      <c r="D160" s="20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36"/>
    </row>
    <row r="161" spans="3:37" x14ac:dyDescent="0.25">
      <c r="C161" s="19"/>
      <c r="D161" s="20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36"/>
    </row>
    <row r="162" spans="3:37" x14ac:dyDescent="0.25">
      <c r="C162" s="19"/>
      <c r="D162" s="20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36"/>
    </row>
    <row r="163" spans="3:37" x14ac:dyDescent="0.25">
      <c r="C163" s="19"/>
      <c r="D163" s="20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36"/>
    </row>
    <row r="164" spans="3:37" x14ac:dyDescent="0.25">
      <c r="C164" s="19"/>
      <c r="D164" s="20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36"/>
    </row>
    <row r="165" spans="3:37" x14ac:dyDescent="0.25">
      <c r="C165" s="19"/>
      <c r="D165" s="20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36"/>
    </row>
    <row r="166" spans="3:37" x14ac:dyDescent="0.25">
      <c r="C166" s="19"/>
      <c r="D166" s="20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36"/>
    </row>
    <row r="167" spans="3:37" x14ac:dyDescent="0.25">
      <c r="C167" s="19"/>
      <c r="D167" s="20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36"/>
    </row>
    <row r="168" spans="3:37" x14ac:dyDescent="0.25">
      <c r="C168" s="19"/>
      <c r="D168" s="20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36"/>
    </row>
    <row r="169" spans="3:37" x14ac:dyDescent="0.25">
      <c r="C169" s="19"/>
      <c r="D169" s="20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36"/>
    </row>
    <row r="170" spans="3:37" x14ac:dyDescent="0.25">
      <c r="C170" s="19"/>
      <c r="D170" s="20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36"/>
    </row>
    <row r="171" spans="3:37" x14ac:dyDescent="0.25">
      <c r="C171" s="19"/>
      <c r="D171" s="20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36"/>
    </row>
    <row r="172" spans="3:37" x14ac:dyDescent="0.25">
      <c r="C172" s="19"/>
      <c r="D172" s="20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36"/>
    </row>
    <row r="173" spans="3:37" x14ac:dyDescent="0.25">
      <c r="C173" s="19"/>
      <c r="D173" s="20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36"/>
    </row>
    <row r="174" spans="3:37" x14ac:dyDescent="0.25">
      <c r="C174" s="19"/>
      <c r="D174" s="20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36"/>
    </row>
    <row r="175" spans="3:37" x14ac:dyDescent="0.25">
      <c r="C175" s="19"/>
      <c r="D175" s="20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36"/>
    </row>
    <row r="176" spans="3:37" x14ac:dyDescent="0.25">
      <c r="C176" s="19"/>
      <c r="D176" s="20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36"/>
    </row>
    <row r="177" spans="3:37" x14ac:dyDescent="0.25">
      <c r="C177" s="19"/>
      <c r="D177" s="20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36"/>
    </row>
    <row r="178" spans="3:37" x14ac:dyDescent="0.25">
      <c r="C178" s="19"/>
      <c r="D178" s="20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36"/>
    </row>
    <row r="179" spans="3:37" x14ac:dyDescent="0.25">
      <c r="C179" s="19"/>
      <c r="D179" s="20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36"/>
    </row>
    <row r="180" spans="3:37" x14ac:dyDescent="0.25">
      <c r="C180" s="19"/>
      <c r="D180" s="20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36"/>
    </row>
    <row r="181" spans="3:37" x14ac:dyDescent="0.25">
      <c r="C181" s="19"/>
      <c r="D181" s="20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36"/>
    </row>
    <row r="182" spans="3:37" x14ac:dyDescent="0.25">
      <c r="C182" s="19"/>
      <c r="D182" s="20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36"/>
    </row>
    <row r="183" spans="3:37" x14ac:dyDescent="0.25">
      <c r="C183" s="19"/>
      <c r="D183" s="20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36"/>
    </row>
    <row r="184" spans="3:37" x14ac:dyDescent="0.25">
      <c r="C184" s="19"/>
      <c r="D184" s="20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36"/>
    </row>
    <row r="185" spans="3:37" x14ac:dyDescent="0.25">
      <c r="C185" s="19"/>
      <c r="D185" s="20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36"/>
    </row>
    <row r="186" spans="3:37" x14ac:dyDescent="0.25">
      <c r="C186" s="19"/>
      <c r="D186" s="20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36"/>
    </row>
    <row r="187" spans="3:37" x14ac:dyDescent="0.25">
      <c r="C187" s="19"/>
      <c r="D187" s="20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36"/>
    </row>
    <row r="188" spans="3:37" x14ac:dyDescent="0.25">
      <c r="C188" s="19"/>
      <c r="D188" s="20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36"/>
    </row>
    <row r="189" spans="3:37" x14ac:dyDescent="0.25">
      <c r="C189" s="19"/>
      <c r="D189" s="20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36"/>
    </row>
    <row r="190" spans="3:37" x14ac:dyDescent="0.25">
      <c r="C190" s="19"/>
      <c r="D190" s="20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36"/>
    </row>
    <row r="191" spans="3:37" x14ac:dyDescent="0.25">
      <c r="C191" s="19"/>
      <c r="D191" s="20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36"/>
    </row>
    <row r="192" spans="3:37" x14ac:dyDescent="0.25">
      <c r="C192" s="19"/>
      <c r="D192" s="20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36"/>
    </row>
    <row r="193" spans="3:37" x14ac:dyDescent="0.25">
      <c r="C193" s="19"/>
      <c r="D193" s="20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36"/>
    </row>
    <row r="194" spans="3:37" x14ac:dyDescent="0.25">
      <c r="C194" s="19"/>
      <c r="D194" s="20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36"/>
    </row>
    <row r="195" spans="3:37" x14ac:dyDescent="0.25">
      <c r="C195" s="19"/>
      <c r="D195" s="20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36"/>
    </row>
    <row r="196" spans="3:37" x14ac:dyDescent="0.25">
      <c r="C196" s="19"/>
      <c r="D196" s="20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36"/>
    </row>
    <row r="197" spans="3:37" x14ac:dyDescent="0.25">
      <c r="C197" s="19"/>
      <c r="D197" s="20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36"/>
    </row>
    <row r="198" spans="3:37" x14ac:dyDescent="0.25">
      <c r="C198" s="19"/>
      <c r="D198" s="20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36"/>
    </row>
    <row r="199" spans="3:37" x14ac:dyDescent="0.25">
      <c r="C199" s="19"/>
      <c r="D199" s="20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36"/>
    </row>
    <row r="200" spans="3:37" x14ac:dyDescent="0.25">
      <c r="C200" s="19"/>
      <c r="D200" s="20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36"/>
    </row>
    <row r="201" spans="3:37" x14ac:dyDescent="0.25">
      <c r="C201" s="19"/>
      <c r="D201" s="20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36"/>
    </row>
    <row r="202" spans="3:37" x14ac:dyDescent="0.25">
      <c r="C202" s="19"/>
      <c r="D202" s="20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36"/>
    </row>
    <row r="203" spans="3:37" x14ac:dyDescent="0.25">
      <c r="C203" s="19"/>
      <c r="D203" s="20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36"/>
    </row>
    <row r="204" spans="3:37" x14ac:dyDescent="0.25">
      <c r="C204" s="19"/>
      <c r="D204" s="20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36"/>
    </row>
    <row r="205" spans="3:37" x14ac:dyDescent="0.25">
      <c r="C205" s="19"/>
      <c r="D205" s="20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36"/>
    </row>
    <row r="206" spans="3:37" x14ac:dyDescent="0.25">
      <c r="C206" s="19"/>
      <c r="D206" s="20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36"/>
    </row>
    <row r="207" spans="3:37" x14ac:dyDescent="0.25">
      <c r="C207" s="19"/>
      <c r="D207" s="20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36"/>
    </row>
    <row r="208" spans="3:37" x14ac:dyDescent="0.25">
      <c r="C208" s="19"/>
      <c r="D208" s="20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36"/>
    </row>
    <row r="209" spans="3:37" x14ac:dyDescent="0.25">
      <c r="C209" s="19"/>
      <c r="D209" s="20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36"/>
    </row>
    <row r="210" spans="3:37" x14ac:dyDescent="0.25">
      <c r="C210" s="19"/>
      <c r="D210" s="20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36"/>
    </row>
    <row r="211" spans="3:37" x14ac:dyDescent="0.25">
      <c r="C211" s="19"/>
      <c r="D211" s="20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36"/>
    </row>
    <row r="212" spans="3:37" x14ac:dyDescent="0.25">
      <c r="C212" s="19"/>
      <c r="D212" s="20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36"/>
    </row>
    <row r="213" spans="3:37" x14ac:dyDescent="0.25">
      <c r="C213" s="19"/>
      <c r="D213" s="20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36"/>
    </row>
    <row r="214" spans="3:37" x14ac:dyDescent="0.25">
      <c r="C214" s="19"/>
      <c r="D214" s="20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36"/>
    </row>
  </sheetData>
  <sheetProtection algorithmName="SHA-512" hashValue="bRGHU78rM7fxTpzhXjPk5SDDwuTARYFlueKremWV1g2H7d4k+b+ekjLSKpXoJA2awCEglzS3CLzHTHt8KqdfFw==" saltValue="2+KbUS8SGGu1IHCM663GpQ==" spinCount="100000" sheet="1" objects="1" scenarios="1"/>
  <mergeCells count="6">
    <mergeCell ref="C9:C10"/>
    <mergeCell ref="AM22:AN26"/>
    <mergeCell ref="F4:AJ6"/>
    <mergeCell ref="AM27:AN27"/>
    <mergeCell ref="AK9:AK10"/>
    <mergeCell ref="D9:D10"/>
  </mergeCells>
  <conditionalFormatting sqref="F11:AJ214">
    <cfRule type="cellIs" dxfId="9" priority="1" operator="equal">
      <formula>"P"</formula>
    </cfRule>
    <cfRule type="cellIs" dxfId="8" priority="2" operator="equal">
      <formula>"A"</formula>
    </cfRule>
    <cfRule type="cellIs" dxfId="7" priority="3" operator="equal">
      <formula>"PA"</formula>
    </cfRule>
    <cfRule type="cellIs" dxfId="6" priority="4" operator="equal">
      <formula>"PSG"</formula>
    </cfRule>
    <cfRule type="cellIs" dxfId="5" priority="5" operator="equal">
      <formula>"CS"</formula>
    </cfRule>
    <cfRule type="cellIs" dxfId="4" priority="6" operator="equal">
      <formula>"PE"</formula>
    </cfRule>
    <cfRule type="cellIs" dxfId="3" priority="7" operator="equal">
      <formula>"F"</formula>
    </cfRule>
    <cfRule type="cellIs" dxfId="2" priority="8" operator="equal">
      <formula>"LM"</formula>
    </cfRule>
    <cfRule type="cellIs" dxfId="1" priority="9" operator="equal">
      <formula>"NCA"</formula>
    </cfRule>
    <cfRule type="expression" dxfId="0" priority="10">
      <formula>OR(F$9="S",F$9="D")</formula>
    </cfRule>
  </conditionalFormatting>
  <dataValidations count="1">
    <dataValidation type="list" allowBlank="1" showInputMessage="1" showErrorMessage="1" sqref="F11:AJ214" xr:uid="{8489B66B-1579-4929-B3DE-3C6B631EFE66}">
      <formula1>$AN$9:$AN$20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E13B145-3FFE-42D0-BADA-431DC5B2D150}">
          <x14:formula1>
            <xm:f>DATOS!$A$2:$A$13</xm:f>
          </x14:formula1>
          <xm:sqref>C5</xm:sqref>
        </x14:dataValidation>
        <x14:dataValidation type="list" allowBlank="1" showInputMessage="1" showErrorMessage="1" xr:uid="{E1244232-DEA5-4475-A1D5-9F9DAA91AA36}">
          <x14:formula1>
            <xm:f>DATOS!$G$2:$G$92</xm:f>
          </x14:formula1>
          <xm:sqref>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16F76-8BE0-477C-A35F-78115E90036B}">
  <dimension ref="A1:C67"/>
  <sheetViews>
    <sheetView workbookViewId="0">
      <selection activeCell="F6" sqref="F6"/>
    </sheetView>
  </sheetViews>
  <sheetFormatPr baseColWidth="10" defaultRowHeight="15" x14ac:dyDescent="0.25"/>
  <cols>
    <col min="1" max="1" width="30.42578125" style="35" customWidth="1"/>
    <col min="2" max="2" width="28.28515625" style="35" customWidth="1"/>
    <col min="3" max="3" width="38" style="35" customWidth="1"/>
  </cols>
  <sheetData>
    <row r="1" spans="1:3" x14ac:dyDescent="0.25">
      <c r="A1" s="1" t="s">
        <v>133</v>
      </c>
      <c r="B1" s="1" t="s">
        <v>45</v>
      </c>
      <c r="C1" s="1" t="s">
        <v>143</v>
      </c>
    </row>
    <row r="2" spans="1:3" x14ac:dyDescent="0.25">
      <c r="A2" s="19" t="s">
        <v>138</v>
      </c>
      <c r="B2" s="20" t="s">
        <v>137</v>
      </c>
      <c r="C2" s="35">
        <v>5</v>
      </c>
    </row>
    <row r="3" spans="1:3" x14ac:dyDescent="0.25">
      <c r="A3" s="19"/>
      <c r="B3" s="20"/>
    </row>
    <row r="4" spans="1:3" x14ac:dyDescent="0.25">
      <c r="A4" s="19"/>
      <c r="B4" s="20"/>
    </row>
    <row r="5" spans="1:3" x14ac:dyDescent="0.25">
      <c r="A5" s="19"/>
      <c r="B5" s="20"/>
    </row>
    <row r="6" spans="1:3" x14ac:dyDescent="0.25">
      <c r="A6" s="19"/>
      <c r="B6" s="20"/>
    </row>
    <row r="7" spans="1:3" x14ac:dyDescent="0.25">
      <c r="A7" s="19"/>
      <c r="B7" s="20"/>
    </row>
    <row r="8" spans="1:3" x14ac:dyDescent="0.25">
      <c r="A8" s="19"/>
      <c r="B8" s="20"/>
    </row>
    <row r="9" spans="1:3" x14ac:dyDescent="0.25">
      <c r="A9" s="19"/>
      <c r="B9" s="20"/>
    </row>
    <row r="10" spans="1:3" x14ac:dyDescent="0.25">
      <c r="A10" s="19"/>
      <c r="B10" s="20"/>
    </row>
    <row r="11" spans="1:3" x14ac:dyDescent="0.25">
      <c r="A11" s="19"/>
      <c r="B11" s="20"/>
    </row>
    <row r="12" spans="1:3" x14ac:dyDescent="0.25">
      <c r="A12" s="19"/>
      <c r="B12" s="20"/>
    </row>
    <row r="13" spans="1:3" x14ac:dyDescent="0.25">
      <c r="A13" s="19"/>
      <c r="B13" s="20"/>
    </row>
    <row r="14" spans="1:3" x14ac:dyDescent="0.25">
      <c r="A14" s="19"/>
      <c r="B14" s="20"/>
    </row>
    <row r="15" spans="1:3" x14ac:dyDescent="0.25">
      <c r="A15" s="19"/>
      <c r="B15" s="20"/>
    </row>
    <row r="16" spans="1:3" x14ac:dyDescent="0.25">
      <c r="A16" s="19"/>
      <c r="B16" s="20"/>
    </row>
    <row r="17" spans="1:2" x14ac:dyDescent="0.25">
      <c r="A17" s="19"/>
      <c r="B17" s="20"/>
    </row>
    <row r="18" spans="1:2" x14ac:dyDescent="0.25">
      <c r="A18" s="19"/>
      <c r="B18" s="20"/>
    </row>
    <row r="19" spans="1:2" x14ac:dyDescent="0.25">
      <c r="A19" s="19"/>
      <c r="B19" s="20"/>
    </row>
    <row r="20" spans="1:2" x14ac:dyDescent="0.25">
      <c r="A20" s="19"/>
      <c r="B20" s="20"/>
    </row>
    <row r="21" spans="1:2" x14ac:dyDescent="0.25">
      <c r="A21" s="19"/>
      <c r="B21" s="20"/>
    </row>
    <row r="22" spans="1:2" x14ac:dyDescent="0.25">
      <c r="A22" s="19"/>
      <c r="B22" s="20"/>
    </row>
    <row r="23" spans="1:2" x14ac:dyDescent="0.25">
      <c r="A23" s="19"/>
      <c r="B23" s="20"/>
    </row>
    <row r="24" spans="1:2" x14ac:dyDescent="0.25">
      <c r="A24" s="19"/>
      <c r="B24" s="20"/>
    </row>
    <row r="25" spans="1:2" x14ac:dyDescent="0.25">
      <c r="A25" s="19"/>
      <c r="B25" s="20"/>
    </row>
    <row r="26" spans="1:2" x14ac:dyDescent="0.25">
      <c r="A26" s="19"/>
      <c r="B26" s="20"/>
    </row>
    <row r="27" spans="1:2" x14ac:dyDescent="0.25">
      <c r="A27" s="19"/>
      <c r="B27" s="20"/>
    </row>
    <row r="28" spans="1:2" x14ac:dyDescent="0.25">
      <c r="A28" s="19"/>
      <c r="B28" s="20"/>
    </row>
    <row r="29" spans="1:2" x14ac:dyDescent="0.25">
      <c r="A29" s="19"/>
      <c r="B29" s="20"/>
    </row>
    <row r="30" spans="1:2" x14ac:dyDescent="0.25">
      <c r="A30" s="19"/>
      <c r="B30" s="20"/>
    </row>
    <row r="31" spans="1:2" x14ac:dyDescent="0.25">
      <c r="A31" s="19"/>
      <c r="B31" s="20"/>
    </row>
    <row r="32" spans="1:2" x14ac:dyDescent="0.25">
      <c r="A32" s="19"/>
      <c r="B32" s="20"/>
    </row>
    <row r="33" spans="1:2" x14ac:dyDescent="0.25">
      <c r="A33" s="19"/>
      <c r="B33" s="20"/>
    </row>
    <row r="34" spans="1:2" x14ac:dyDescent="0.25">
      <c r="A34" s="19"/>
      <c r="B34" s="20"/>
    </row>
    <row r="35" spans="1:2" x14ac:dyDescent="0.25">
      <c r="A35" s="19"/>
      <c r="B35" s="20"/>
    </row>
    <row r="36" spans="1:2" x14ac:dyDescent="0.25">
      <c r="A36" s="19"/>
      <c r="B36" s="20"/>
    </row>
    <row r="37" spans="1:2" x14ac:dyDescent="0.25">
      <c r="A37" s="19"/>
      <c r="B37" s="20"/>
    </row>
    <row r="38" spans="1:2" x14ac:dyDescent="0.25">
      <c r="A38" s="19"/>
      <c r="B38" s="20"/>
    </row>
    <row r="39" spans="1:2" x14ac:dyDescent="0.25">
      <c r="A39" s="19"/>
      <c r="B39" s="20"/>
    </row>
    <row r="40" spans="1:2" x14ac:dyDescent="0.25">
      <c r="A40" s="19"/>
      <c r="B40" s="20"/>
    </row>
    <row r="41" spans="1:2" x14ac:dyDescent="0.25">
      <c r="A41" s="19"/>
      <c r="B41" s="20"/>
    </row>
    <row r="42" spans="1:2" x14ac:dyDescent="0.25">
      <c r="A42" s="19"/>
      <c r="B42" s="20"/>
    </row>
    <row r="43" spans="1:2" x14ac:dyDescent="0.25">
      <c r="A43" s="19"/>
      <c r="B43" s="20"/>
    </row>
    <row r="44" spans="1:2" x14ac:dyDescent="0.25">
      <c r="A44" s="19"/>
      <c r="B44" s="20"/>
    </row>
    <row r="45" spans="1:2" x14ac:dyDescent="0.25">
      <c r="A45" s="19"/>
      <c r="B45" s="20"/>
    </row>
    <row r="46" spans="1:2" x14ac:dyDescent="0.25">
      <c r="A46" s="19"/>
      <c r="B46" s="20"/>
    </row>
    <row r="47" spans="1:2" x14ac:dyDescent="0.25">
      <c r="A47" s="19"/>
      <c r="B47" s="20"/>
    </row>
    <row r="48" spans="1:2" x14ac:dyDescent="0.25">
      <c r="A48" s="19"/>
      <c r="B48" s="20"/>
    </row>
    <row r="49" spans="1:2" x14ac:dyDescent="0.25">
      <c r="A49" s="19"/>
      <c r="B49" s="20"/>
    </row>
    <row r="50" spans="1:2" x14ac:dyDescent="0.25">
      <c r="A50" s="19"/>
      <c r="B50" s="20"/>
    </row>
    <row r="51" spans="1:2" x14ac:dyDescent="0.25">
      <c r="A51" s="19"/>
      <c r="B51" s="20"/>
    </row>
    <row r="52" spans="1:2" x14ac:dyDescent="0.25">
      <c r="A52" s="19"/>
      <c r="B52" s="20"/>
    </row>
    <row r="53" spans="1:2" x14ac:dyDescent="0.25">
      <c r="A53" s="19"/>
      <c r="B53" s="20"/>
    </row>
    <row r="54" spans="1:2" x14ac:dyDescent="0.25">
      <c r="A54" s="19"/>
      <c r="B54" s="20"/>
    </row>
    <row r="55" spans="1:2" x14ac:dyDescent="0.25">
      <c r="A55" s="19"/>
      <c r="B55" s="20"/>
    </row>
    <row r="56" spans="1:2" x14ac:dyDescent="0.25">
      <c r="A56" s="19"/>
      <c r="B56" s="20"/>
    </row>
    <row r="57" spans="1:2" x14ac:dyDescent="0.25">
      <c r="A57" s="19"/>
      <c r="B57" s="20"/>
    </row>
    <row r="58" spans="1:2" x14ac:dyDescent="0.25">
      <c r="A58" s="19"/>
      <c r="B58" s="20"/>
    </row>
    <row r="59" spans="1:2" x14ac:dyDescent="0.25">
      <c r="A59" s="19"/>
      <c r="B59" s="20"/>
    </row>
    <row r="60" spans="1:2" x14ac:dyDescent="0.25">
      <c r="A60" s="19"/>
      <c r="B60" s="20"/>
    </row>
    <row r="61" spans="1:2" x14ac:dyDescent="0.25">
      <c r="A61" s="19"/>
      <c r="B61" s="20"/>
    </row>
    <row r="62" spans="1:2" x14ac:dyDescent="0.25">
      <c r="A62" s="19"/>
      <c r="B62" s="20"/>
    </row>
    <row r="63" spans="1:2" x14ac:dyDescent="0.25">
      <c r="A63" s="19"/>
      <c r="B63" s="20"/>
    </row>
    <row r="64" spans="1:2" x14ac:dyDescent="0.25">
      <c r="A64" s="19"/>
      <c r="B64" s="20"/>
    </row>
    <row r="65" spans="1:2" x14ac:dyDescent="0.25">
      <c r="A65" s="19"/>
      <c r="B65" s="20"/>
    </row>
    <row r="66" spans="1:2" x14ac:dyDescent="0.25">
      <c r="A66" s="19"/>
      <c r="B66" s="20"/>
    </row>
    <row r="67" spans="1:2" x14ac:dyDescent="0.25">
      <c r="A67" s="19"/>
      <c r="B67" s="20"/>
    </row>
  </sheetData>
  <sheetProtection algorithmName="SHA-512" hashValue="K1LcSoIv9Hnrye4dfsex36aKb8kwnH2zm8Ol52EcH58A7aFUABcFDbnlqAyAImFQ4z3lgxrmS+9MS/ZNowOM1Q==" saltValue="2nftuJV5tq4hSOHWCMs4kg==" spinCount="100000" sheet="1" objects="1" scenarios="1"/>
  <dataValidations count="2">
    <dataValidation type="whole" allowBlank="1" showInputMessage="1" showErrorMessage="1" sqref="C201:C364" xr:uid="{6BD1BC2F-01E9-4981-983D-52242F921D4B}">
      <formula1>0</formula1>
      <formula2>250</formula2>
    </dataValidation>
    <dataValidation type="whole" allowBlank="1" showInputMessage="1" showErrorMessage="1" errorTitle="Error" error="Solo se permite el ingreso de número entero" sqref="C2:C200" xr:uid="{E6A5920C-6873-4BCC-AF18-195A0A265A3B}">
      <formula1>0</formula1>
      <formula2>250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0926-CEAF-412B-AEDC-9DF477A4AC2C}">
  <sheetPr codeName="Hoja3"/>
  <dimension ref="A1:C23"/>
  <sheetViews>
    <sheetView zoomScaleNormal="100" workbookViewId="0">
      <selection activeCell="A15" sqref="A15"/>
    </sheetView>
  </sheetViews>
  <sheetFormatPr baseColWidth="10" defaultRowHeight="15" x14ac:dyDescent="0.25"/>
  <cols>
    <col min="2" max="2" width="5.5703125" customWidth="1"/>
  </cols>
  <sheetData>
    <row r="1" spans="1:3" x14ac:dyDescent="0.25">
      <c r="A1" t="s">
        <v>134</v>
      </c>
      <c r="B1" t="s">
        <v>135</v>
      </c>
      <c r="C1" t="s">
        <v>136</v>
      </c>
    </row>
    <row r="2" spans="1:3" x14ac:dyDescent="0.25">
      <c r="A2" s="17">
        <v>45292</v>
      </c>
      <c r="B2" t="s">
        <v>28</v>
      </c>
      <c r="C2" t="s">
        <v>18</v>
      </c>
    </row>
    <row r="3" spans="1:3" x14ac:dyDescent="0.25">
      <c r="A3" s="17">
        <v>45413</v>
      </c>
      <c r="B3" t="s">
        <v>30</v>
      </c>
      <c r="C3" t="s">
        <v>18</v>
      </c>
    </row>
    <row r="4" spans="1:3" x14ac:dyDescent="0.25">
      <c r="A4" s="17">
        <v>45463</v>
      </c>
      <c r="B4" t="s">
        <v>33</v>
      </c>
      <c r="C4" t="s">
        <v>18</v>
      </c>
    </row>
    <row r="5" spans="1:3" x14ac:dyDescent="0.25">
      <c r="A5" s="17">
        <v>45489</v>
      </c>
      <c r="B5" t="s">
        <v>30</v>
      </c>
      <c r="C5" t="s">
        <v>18</v>
      </c>
    </row>
    <row r="6" spans="1:3" x14ac:dyDescent="0.25">
      <c r="A6" s="17">
        <v>45519</v>
      </c>
      <c r="B6" t="s">
        <v>33</v>
      </c>
      <c r="C6" t="s">
        <v>18</v>
      </c>
    </row>
    <row r="7" spans="1:3" x14ac:dyDescent="0.25">
      <c r="A7" s="17">
        <v>45553</v>
      </c>
      <c r="B7" t="s">
        <v>30</v>
      </c>
      <c r="C7" t="s">
        <v>18</v>
      </c>
    </row>
    <row r="8" spans="1:3" x14ac:dyDescent="0.25">
      <c r="A8" s="17">
        <v>45554</v>
      </c>
      <c r="B8" t="s">
        <v>33</v>
      </c>
      <c r="C8" t="s">
        <v>18</v>
      </c>
    </row>
    <row r="9" spans="1:3" x14ac:dyDescent="0.25">
      <c r="A9" s="17">
        <v>45555</v>
      </c>
      <c r="B9" t="s">
        <v>35</v>
      </c>
      <c r="C9" t="s">
        <v>18</v>
      </c>
    </row>
    <row r="10" spans="1:3" x14ac:dyDescent="0.25">
      <c r="A10" s="17">
        <v>45596</v>
      </c>
      <c r="B10" t="s">
        <v>33</v>
      </c>
      <c r="C10" t="s">
        <v>18</v>
      </c>
    </row>
    <row r="11" spans="1:3" x14ac:dyDescent="0.25">
      <c r="A11" s="17">
        <v>45597</v>
      </c>
      <c r="B11" t="s">
        <v>35</v>
      </c>
      <c r="C11" t="s">
        <v>18</v>
      </c>
    </row>
    <row r="12" spans="1:3" x14ac:dyDescent="0.25">
      <c r="A12" s="17">
        <v>45651</v>
      </c>
      <c r="B12" t="s">
        <v>30</v>
      </c>
      <c r="C12" t="s">
        <v>18</v>
      </c>
    </row>
    <row r="13" spans="1:3" x14ac:dyDescent="0.25">
      <c r="A13" s="17">
        <v>45658</v>
      </c>
      <c r="B13" t="s">
        <v>30</v>
      </c>
      <c r="C13" t="s">
        <v>18</v>
      </c>
    </row>
    <row r="14" spans="1:3" x14ac:dyDescent="0.25">
      <c r="A14" s="17">
        <v>45778</v>
      </c>
      <c r="B14" t="s">
        <v>33</v>
      </c>
      <c r="C14" t="s">
        <v>18</v>
      </c>
    </row>
    <row r="15" spans="1:3" x14ac:dyDescent="0.25">
      <c r="A15" s="17">
        <v>45798</v>
      </c>
      <c r="B15" t="s">
        <v>30</v>
      </c>
      <c r="C15" t="s">
        <v>18</v>
      </c>
    </row>
    <row r="16" spans="1:3" x14ac:dyDescent="0.25">
      <c r="A16" s="17">
        <v>45828</v>
      </c>
      <c r="B16" t="s">
        <v>35</v>
      </c>
      <c r="C16" t="s">
        <v>18</v>
      </c>
    </row>
    <row r="17" spans="1:3" x14ac:dyDescent="0.25">
      <c r="A17" s="17">
        <v>45854</v>
      </c>
      <c r="B17" t="s">
        <v>30</v>
      </c>
      <c r="C17" t="s">
        <v>18</v>
      </c>
    </row>
    <row r="18" spans="1:3" x14ac:dyDescent="0.25">
      <c r="A18" s="17">
        <v>45884</v>
      </c>
      <c r="B18" t="s">
        <v>35</v>
      </c>
      <c r="C18" t="s">
        <v>18</v>
      </c>
    </row>
    <row r="19" spans="1:3" x14ac:dyDescent="0.25">
      <c r="A19" s="17">
        <v>45918</v>
      </c>
      <c r="B19" t="s">
        <v>33</v>
      </c>
      <c r="C19" t="s">
        <v>18</v>
      </c>
    </row>
    <row r="20" spans="1:3" x14ac:dyDescent="0.25">
      <c r="A20" s="17">
        <v>45919</v>
      </c>
      <c r="B20" t="s">
        <v>35</v>
      </c>
      <c r="C20" t="s">
        <v>18</v>
      </c>
    </row>
    <row r="21" spans="1:3" x14ac:dyDescent="0.25">
      <c r="A21" s="17">
        <v>45961</v>
      </c>
      <c r="B21" t="s">
        <v>35</v>
      </c>
      <c r="C21" t="s">
        <v>18</v>
      </c>
    </row>
    <row r="22" spans="1:3" x14ac:dyDescent="0.25">
      <c r="A22" s="17">
        <v>45999</v>
      </c>
      <c r="B22" t="s">
        <v>28</v>
      </c>
      <c r="C22" t="s">
        <v>18</v>
      </c>
    </row>
    <row r="23" spans="1:3" x14ac:dyDescent="0.25">
      <c r="A23" s="17">
        <v>46016</v>
      </c>
      <c r="B23" t="s">
        <v>33</v>
      </c>
      <c r="C23" t="s">
        <v>18</v>
      </c>
    </row>
  </sheetData>
  <sheetProtection algorithmName="SHA-512" hashValue="YIsPsA+PwSHyWvdeCkhVzVhKFNEli4KRPOVqORYP6rM2unONfXX6KOOwabeN8k3CING3H5hS5tWgIhSLxuQ8yA==" saltValue="qnh8cfM5pHKhDoE3AMIqZ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BA6A4-9590-483D-886E-FCCE5742DE13}">
  <sheetPr codeName="Hoja4"/>
  <dimension ref="A1:D18"/>
  <sheetViews>
    <sheetView workbookViewId="0">
      <selection activeCell="C29" sqref="C29"/>
    </sheetView>
  </sheetViews>
  <sheetFormatPr baseColWidth="10" defaultRowHeight="15" x14ac:dyDescent="0.25"/>
  <cols>
    <col min="1" max="1" width="32.42578125" style="16" bestFit="1" customWidth="1"/>
    <col min="4" max="4" width="11.42578125" style="17"/>
  </cols>
  <sheetData>
    <row r="1" spans="1:1" x14ac:dyDescent="0.25">
      <c r="A1" s="16">
        <v>45658</v>
      </c>
    </row>
    <row r="2" spans="1:1" x14ac:dyDescent="0.25">
      <c r="A2" s="16">
        <v>45765</v>
      </c>
    </row>
    <row r="3" spans="1:1" x14ac:dyDescent="0.25">
      <c r="A3" s="16">
        <v>45766</v>
      </c>
    </row>
    <row r="4" spans="1:1" x14ac:dyDescent="0.25">
      <c r="A4" s="16">
        <v>45778</v>
      </c>
    </row>
    <row r="5" spans="1:1" x14ac:dyDescent="0.25">
      <c r="A5" s="16">
        <v>45798</v>
      </c>
    </row>
    <row r="6" spans="1:1" x14ac:dyDescent="0.25">
      <c r="A6" s="16">
        <v>45828</v>
      </c>
    </row>
    <row r="7" spans="1:1" x14ac:dyDescent="0.25">
      <c r="A7" s="16">
        <v>45837</v>
      </c>
    </row>
    <row r="8" spans="1:1" x14ac:dyDescent="0.25">
      <c r="A8" s="16">
        <v>45854</v>
      </c>
    </row>
    <row r="9" spans="1:1" x14ac:dyDescent="0.25">
      <c r="A9" s="16">
        <v>45884</v>
      </c>
    </row>
    <row r="10" spans="1:1" x14ac:dyDescent="0.25">
      <c r="A10" s="16">
        <v>45918</v>
      </c>
    </row>
    <row r="11" spans="1:1" x14ac:dyDescent="0.25">
      <c r="A11" s="16">
        <v>45919</v>
      </c>
    </row>
    <row r="12" spans="1:1" x14ac:dyDescent="0.25">
      <c r="A12" s="16">
        <v>45942</v>
      </c>
    </row>
    <row r="13" spans="1:1" x14ac:dyDescent="0.25">
      <c r="A13" s="16">
        <v>45961</v>
      </c>
    </row>
    <row r="14" spans="1:1" x14ac:dyDescent="0.25">
      <c r="A14" s="16">
        <v>45962</v>
      </c>
    </row>
    <row r="15" spans="1:1" x14ac:dyDescent="0.25">
      <c r="A15" s="16">
        <v>45977</v>
      </c>
    </row>
    <row r="16" spans="1:1" x14ac:dyDescent="0.25">
      <c r="A16" s="16">
        <v>45999</v>
      </c>
    </row>
    <row r="17" spans="1:1" x14ac:dyDescent="0.25">
      <c r="A17" s="16">
        <v>46005</v>
      </c>
    </row>
    <row r="18" spans="1:1" x14ac:dyDescent="0.25">
      <c r="A18" s="16">
        <v>46016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H92"/>
  <sheetViews>
    <sheetView topLeftCell="A19" workbookViewId="0">
      <selection activeCell="H83" sqref="H83"/>
    </sheetView>
  </sheetViews>
  <sheetFormatPr baseColWidth="10" defaultRowHeight="15" x14ac:dyDescent="0.25"/>
  <cols>
    <col min="6" max="6" width="3.28515625" customWidth="1"/>
    <col min="8" max="8" width="54.7109375" bestFit="1" customWidth="1"/>
  </cols>
  <sheetData>
    <row r="1" spans="1:8" x14ac:dyDescent="0.25">
      <c r="A1" s="4" t="s">
        <v>1</v>
      </c>
      <c r="B1" s="4" t="s">
        <v>24</v>
      </c>
      <c r="D1" s="4" t="s">
        <v>24</v>
      </c>
      <c r="E1" s="4" t="s">
        <v>25</v>
      </c>
      <c r="G1" s="6" t="s">
        <v>2</v>
      </c>
      <c r="H1" s="6" t="s">
        <v>26</v>
      </c>
    </row>
    <row r="2" spans="1:8" x14ac:dyDescent="0.25">
      <c r="A2" s="5" t="s">
        <v>27</v>
      </c>
      <c r="B2" s="5">
        <v>1</v>
      </c>
      <c r="C2" s="3"/>
      <c r="D2" s="5">
        <v>1</v>
      </c>
      <c r="E2" s="5" t="s">
        <v>28</v>
      </c>
      <c r="F2" s="3"/>
      <c r="G2" s="7">
        <v>9730</v>
      </c>
      <c r="H2" s="7" t="s">
        <v>46</v>
      </c>
    </row>
    <row r="3" spans="1:8" x14ac:dyDescent="0.25">
      <c r="A3" s="5" t="s">
        <v>29</v>
      </c>
      <c r="B3" s="5">
        <v>2</v>
      </c>
      <c r="C3" s="3"/>
      <c r="D3" s="5">
        <v>2</v>
      </c>
      <c r="E3" s="5" t="s">
        <v>30</v>
      </c>
      <c r="F3" s="3"/>
      <c r="G3" s="7">
        <v>9699</v>
      </c>
      <c r="H3" s="7" t="s">
        <v>47</v>
      </c>
    </row>
    <row r="4" spans="1:8" x14ac:dyDescent="0.25">
      <c r="A4" s="5" t="s">
        <v>31</v>
      </c>
      <c r="B4" s="5">
        <v>3</v>
      </c>
      <c r="C4" s="3"/>
      <c r="D4" s="5">
        <v>3</v>
      </c>
      <c r="E4" s="5" t="s">
        <v>30</v>
      </c>
      <c r="F4" s="3"/>
      <c r="G4" s="7">
        <v>9700</v>
      </c>
      <c r="H4" s="7" t="s">
        <v>48</v>
      </c>
    </row>
    <row r="5" spans="1:8" x14ac:dyDescent="0.25">
      <c r="A5" s="5" t="s">
        <v>32</v>
      </c>
      <c r="B5" s="5">
        <v>4</v>
      </c>
      <c r="C5" s="3"/>
      <c r="D5" s="5">
        <v>4</v>
      </c>
      <c r="E5" s="5" t="s">
        <v>33</v>
      </c>
      <c r="F5" s="3"/>
      <c r="G5" s="7">
        <v>9706</v>
      </c>
      <c r="H5" s="7" t="s">
        <v>49</v>
      </c>
    </row>
    <row r="6" spans="1:8" x14ac:dyDescent="0.25">
      <c r="A6" s="5" t="s">
        <v>34</v>
      </c>
      <c r="B6" s="5">
        <v>5</v>
      </c>
      <c r="C6" s="3"/>
      <c r="D6" s="5">
        <v>5</v>
      </c>
      <c r="E6" s="5" t="s">
        <v>35</v>
      </c>
      <c r="F6" s="3"/>
      <c r="G6" s="7">
        <v>9703</v>
      </c>
      <c r="H6" s="7" t="s">
        <v>50</v>
      </c>
    </row>
    <row r="7" spans="1:8" x14ac:dyDescent="0.25">
      <c r="A7" s="5" t="s">
        <v>36</v>
      </c>
      <c r="B7" s="5">
        <v>6</v>
      </c>
      <c r="C7" s="3"/>
      <c r="D7" s="5">
        <v>6</v>
      </c>
      <c r="E7" s="5" t="s">
        <v>37</v>
      </c>
      <c r="F7" s="3"/>
      <c r="G7" s="7">
        <v>9693</v>
      </c>
      <c r="H7" s="7" t="s">
        <v>51</v>
      </c>
    </row>
    <row r="8" spans="1:8" x14ac:dyDescent="0.25">
      <c r="A8" s="5" t="s">
        <v>38</v>
      </c>
      <c r="B8" s="5">
        <v>7</v>
      </c>
      <c r="C8" s="3"/>
      <c r="D8" s="5">
        <v>7</v>
      </c>
      <c r="E8" s="5" t="s">
        <v>39</v>
      </c>
      <c r="F8" s="3"/>
      <c r="G8" s="7">
        <v>9701</v>
      </c>
      <c r="H8" s="7" t="s">
        <v>52</v>
      </c>
    </row>
    <row r="9" spans="1:8" x14ac:dyDescent="0.25">
      <c r="A9" s="5" t="s">
        <v>40</v>
      </c>
      <c r="B9" s="5">
        <v>8</v>
      </c>
      <c r="C9" s="3"/>
      <c r="D9" s="3"/>
      <c r="E9" s="3"/>
      <c r="F9" s="3"/>
      <c r="G9" s="7">
        <v>9722</v>
      </c>
      <c r="H9" s="7" t="s">
        <v>53</v>
      </c>
    </row>
    <row r="10" spans="1:8" x14ac:dyDescent="0.25">
      <c r="A10" s="5" t="s">
        <v>41</v>
      </c>
      <c r="B10" s="5">
        <v>9</v>
      </c>
      <c r="C10" s="3"/>
      <c r="D10" s="3"/>
      <c r="E10" s="3"/>
      <c r="F10" s="3"/>
      <c r="G10" s="7">
        <v>9690</v>
      </c>
      <c r="H10" s="7" t="s">
        <v>54</v>
      </c>
    </row>
    <row r="11" spans="1:8" x14ac:dyDescent="0.25">
      <c r="A11" s="5" t="s">
        <v>42</v>
      </c>
      <c r="B11" s="5">
        <v>10</v>
      </c>
      <c r="C11" s="3"/>
      <c r="D11" s="3"/>
      <c r="E11" s="3"/>
      <c r="F11" s="3"/>
      <c r="G11" s="7">
        <v>9697</v>
      </c>
      <c r="H11" s="7" t="s">
        <v>55</v>
      </c>
    </row>
    <row r="12" spans="1:8" x14ac:dyDescent="0.25">
      <c r="A12" s="5" t="s">
        <v>43</v>
      </c>
      <c r="B12" s="5">
        <v>11</v>
      </c>
      <c r="C12" s="3"/>
      <c r="D12" s="3"/>
      <c r="E12" s="3"/>
      <c r="F12" s="3"/>
      <c r="G12" s="7">
        <v>9705</v>
      </c>
      <c r="H12" s="7" t="s">
        <v>56</v>
      </c>
    </row>
    <row r="13" spans="1:8" x14ac:dyDescent="0.25">
      <c r="A13" s="5" t="s">
        <v>44</v>
      </c>
      <c r="B13" s="5">
        <v>12</v>
      </c>
      <c r="C13" s="3"/>
      <c r="D13" s="3"/>
      <c r="E13" s="3"/>
      <c r="F13" s="3"/>
      <c r="G13" s="7">
        <v>9709</v>
      </c>
      <c r="H13" s="7" t="s">
        <v>57</v>
      </c>
    </row>
    <row r="14" spans="1:8" x14ac:dyDescent="0.25">
      <c r="A14" s="3"/>
      <c r="B14" s="3"/>
      <c r="C14" s="3"/>
      <c r="D14" s="3"/>
      <c r="E14" s="3"/>
      <c r="F14" s="3"/>
      <c r="G14" s="7">
        <v>9710</v>
      </c>
      <c r="H14" s="7" t="s">
        <v>58</v>
      </c>
    </row>
    <row r="15" spans="1:8" x14ac:dyDescent="0.25">
      <c r="A15" s="3"/>
      <c r="B15" s="3"/>
      <c r="C15" s="3"/>
      <c r="D15" s="3"/>
      <c r="E15" s="3"/>
      <c r="F15" s="3"/>
      <c r="G15" s="7">
        <v>9716</v>
      </c>
      <c r="H15" s="7" t="s">
        <v>59</v>
      </c>
    </row>
    <row r="16" spans="1:8" x14ac:dyDescent="0.25">
      <c r="A16" s="3"/>
      <c r="B16" s="3"/>
      <c r="C16" s="3"/>
      <c r="D16" s="3"/>
      <c r="E16" s="3"/>
      <c r="F16" s="3"/>
      <c r="G16" s="7">
        <v>9719</v>
      </c>
      <c r="H16" s="7" t="s">
        <v>60</v>
      </c>
    </row>
    <row r="17" spans="1:8" x14ac:dyDescent="0.25">
      <c r="A17" s="3"/>
      <c r="B17" s="3"/>
      <c r="C17" s="3"/>
      <c r="D17" s="3"/>
      <c r="E17" s="3"/>
      <c r="F17" s="3"/>
      <c r="G17" s="7">
        <v>9720</v>
      </c>
      <c r="H17" s="7" t="s">
        <v>61</v>
      </c>
    </row>
    <row r="18" spans="1:8" x14ac:dyDescent="0.25">
      <c r="A18" s="3"/>
      <c r="B18" s="3"/>
      <c r="C18" s="3"/>
      <c r="D18" s="3"/>
      <c r="E18" s="3"/>
      <c r="F18" s="3"/>
      <c r="G18" s="7">
        <v>9726</v>
      </c>
      <c r="H18" s="7" t="s">
        <v>62</v>
      </c>
    </row>
    <row r="19" spans="1:8" x14ac:dyDescent="0.25">
      <c r="A19" s="3"/>
      <c r="B19" s="3"/>
      <c r="C19" s="3"/>
      <c r="D19" s="3"/>
      <c r="E19" s="3"/>
      <c r="F19" s="3"/>
      <c r="G19" s="7">
        <v>9733</v>
      </c>
      <c r="H19" s="7" t="s">
        <v>63</v>
      </c>
    </row>
    <row r="20" spans="1:8" x14ac:dyDescent="0.25">
      <c r="A20" s="3"/>
      <c r="B20" s="3"/>
      <c r="C20" s="3"/>
      <c r="D20" s="3"/>
      <c r="E20" s="3"/>
      <c r="F20" s="3"/>
      <c r="G20" s="7">
        <v>9734</v>
      </c>
      <c r="H20" s="7" t="s">
        <v>64</v>
      </c>
    </row>
    <row r="21" spans="1:8" x14ac:dyDescent="0.25">
      <c r="A21" s="3"/>
      <c r="B21" s="3"/>
      <c r="C21" s="3"/>
      <c r="D21" s="3"/>
      <c r="E21" s="3"/>
      <c r="F21" s="3"/>
      <c r="G21" s="7">
        <v>9736</v>
      </c>
      <c r="H21" s="7" t="s">
        <v>65</v>
      </c>
    </row>
    <row r="22" spans="1:8" x14ac:dyDescent="0.25">
      <c r="A22" s="3"/>
      <c r="B22" s="3"/>
      <c r="C22" s="3"/>
      <c r="D22" s="3"/>
      <c r="E22" s="3"/>
      <c r="F22" s="3"/>
      <c r="G22" s="7">
        <v>9740</v>
      </c>
      <c r="H22" s="7" t="s">
        <v>66</v>
      </c>
    </row>
    <row r="23" spans="1:8" x14ac:dyDescent="0.25">
      <c r="A23" s="3"/>
      <c r="B23" s="3"/>
      <c r="C23" s="3"/>
      <c r="D23" s="3"/>
      <c r="E23" s="3"/>
      <c r="F23" s="3"/>
      <c r="G23" s="7">
        <v>9741</v>
      </c>
      <c r="H23" s="7" t="s">
        <v>67</v>
      </c>
    </row>
    <row r="24" spans="1:8" x14ac:dyDescent="0.25">
      <c r="A24" s="3"/>
      <c r="B24" s="3"/>
      <c r="C24" s="3"/>
      <c r="D24" s="3"/>
      <c r="E24" s="3"/>
      <c r="F24" s="3"/>
      <c r="G24" s="7">
        <v>12103</v>
      </c>
      <c r="H24" s="7" t="s">
        <v>68</v>
      </c>
    </row>
    <row r="25" spans="1:8" x14ac:dyDescent="0.25">
      <c r="A25" s="3"/>
      <c r="B25" s="3"/>
      <c r="C25" s="3"/>
      <c r="D25" s="3"/>
      <c r="E25" s="3"/>
      <c r="F25" s="3"/>
      <c r="G25" s="7">
        <v>13116009</v>
      </c>
      <c r="H25" s="7" t="s">
        <v>69</v>
      </c>
    </row>
    <row r="26" spans="1:8" x14ac:dyDescent="0.25">
      <c r="A26" s="3"/>
      <c r="B26" s="3"/>
      <c r="C26" s="3"/>
      <c r="D26" s="3"/>
      <c r="E26" s="3"/>
      <c r="F26" s="3"/>
      <c r="G26" s="7">
        <v>13116010</v>
      </c>
      <c r="H26" s="7" t="s">
        <v>70</v>
      </c>
    </row>
    <row r="27" spans="1:8" x14ac:dyDescent="0.25">
      <c r="A27" s="3"/>
      <c r="B27" s="3"/>
      <c r="C27" s="3"/>
      <c r="D27" s="3"/>
      <c r="E27" s="3"/>
      <c r="F27" s="3"/>
      <c r="G27" s="7">
        <v>13116011</v>
      </c>
      <c r="H27" s="7" t="s">
        <v>71</v>
      </c>
    </row>
    <row r="28" spans="1:8" x14ac:dyDescent="0.25">
      <c r="A28" s="3"/>
      <c r="B28" s="3"/>
      <c r="C28" s="3"/>
      <c r="D28" s="3"/>
      <c r="E28" s="3"/>
      <c r="F28" s="3"/>
      <c r="G28" s="7">
        <v>13116014</v>
      </c>
      <c r="H28" s="7" t="s">
        <v>72</v>
      </c>
    </row>
    <row r="29" spans="1:8" x14ac:dyDescent="0.25">
      <c r="A29" s="3"/>
      <c r="B29" s="3"/>
      <c r="C29" s="3"/>
      <c r="D29" s="3"/>
      <c r="E29" s="3"/>
      <c r="F29" s="3"/>
      <c r="G29" s="7">
        <v>13116015</v>
      </c>
      <c r="H29" s="7" t="s">
        <v>73</v>
      </c>
    </row>
    <row r="30" spans="1:8" x14ac:dyDescent="0.25">
      <c r="A30" s="3"/>
      <c r="B30" s="3"/>
      <c r="C30" s="3"/>
      <c r="D30" s="3"/>
      <c r="E30" s="3"/>
      <c r="F30" s="3"/>
      <c r="G30" s="7">
        <v>13116016</v>
      </c>
      <c r="H30" s="7" t="s">
        <v>74</v>
      </c>
    </row>
    <row r="31" spans="1:8" x14ac:dyDescent="0.25">
      <c r="A31" s="3"/>
      <c r="B31" s="3"/>
      <c r="C31" s="3"/>
      <c r="D31" s="3"/>
      <c r="E31" s="3"/>
      <c r="F31" s="3"/>
      <c r="G31" s="7">
        <v>9410</v>
      </c>
      <c r="H31" s="7" t="s">
        <v>75</v>
      </c>
    </row>
    <row r="32" spans="1:8" x14ac:dyDescent="0.25">
      <c r="A32" s="3"/>
      <c r="B32" s="3"/>
      <c r="C32" s="3"/>
      <c r="D32" s="3"/>
      <c r="E32" s="3"/>
      <c r="F32" s="3"/>
      <c r="G32" s="7">
        <v>9416</v>
      </c>
      <c r="H32" s="7" t="s">
        <v>76</v>
      </c>
    </row>
    <row r="33" spans="1:8" x14ac:dyDescent="0.25">
      <c r="A33" s="3"/>
      <c r="B33" s="3"/>
      <c r="C33" s="3"/>
      <c r="D33" s="3"/>
      <c r="E33" s="3"/>
      <c r="F33" s="3"/>
      <c r="G33" s="7">
        <v>9418</v>
      </c>
      <c r="H33" s="7" t="s">
        <v>77</v>
      </c>
    </row>
    <row r="34" spans="1:8" x14ac:dyDescent="0.25">
      <c r="A34" s="3"/>
      <c r="B34" s="3"/>
      <c r="C34" s="3"/>
      <c r="D34" s="3"/>
      <c r="E34" s="3"/>
      <c r="F34" s="3"/>
      <c r="G34" s="7">
        <v>9419</v>
      </c>
      <c r="H34" s="7" t="s">
        <v>78</v>
      </c>
    </row>
    <row r="35" spans="1:8" x14ac:dyDescent="0.25">
      <c r="A35" s="3"/>
      <c r="B35" s="3"/>
      <c r="C35" s="3"/>
      <c r="D35" s="3"/>
      <c r="E35" s="3"/>
      <c r="F35" s="3"/>
      <c r="G35" s="7">
        <v>9422</v>
      </c>
      <c r="H35" s="7" t="s">
        <v>79</v>
      </c>
    </row>
    <row r="36" spans="1:8" x14ac:dyDescent="0.25">
      <c r="A36" s="3"/>
      <c r="B36" s="3"/>
      <c r="C36" s="3"/>
      <c r="D36" s="3"/>
      <c r="E36" s="3"/>
      <c r="F36" s="3"/>
      <c r="G36" s="7">
        <v>9428</v>
      </c>
      <c r="H36" s="7" t="s">
        <v>80</v>
      </c>
    </row>
    <row r="37" spans="1:8" x14ac:dyDescent="0.25">
      <c r="A37" s="3"/>
      <c r="B37" s="3"/>
      <c r="C37" s="3"/>
      <c r="D37" s="3"/>
      <c r="E37" s="3"/>
      <c r="F37" s="3"/>
      <c r="G37" s="7">
        <v>9446</v>
      </c>
      <c r="H37" s="7" t="s">
        <v>81</v>
      </c>
    </row>
    <row r="38" spans="1:8" x14ac:dyDescent="0.25">
      <c r="A38" s="3"/>
      <c r="B38" s="3"/>
      <c r="C38" s="3"/>
      <c r="D38" s="3"/>
      <c r="E38" s="3"/>
      <c r="F38" s="3"/>
      <c r="G38" s="7">
        <v>9458</v>
      </c>
      <c r="H38" s="7" t="s">
        <v>82</v>
      </c>
    </row>
    <row r="39" spans="1:8" x14ac:dyDescent="0.25">
      <c r="A39" s="3"/>
      <c r="B39" s="3"/>
      <c r="C39" s="3"/>
      <c r="D39" s="3"/>
      <c r="E39" s="3"/>
      <c r="F39" s="3"/>
      <c r="G39" s="7">
        <v>9695</v>
      </c>
      <c r="H39" s="7" t="s">
        <v>83</v>
      </c>
    </row>
    <row r="40" spans="1:8" x14ac:dyDescent="0.25">
      <c r="A40" s="3"/>
      <c r="B40" s="3"/>
      <c r="C40" s="3"/>
      <c r="D40" s="3"/>
      <c r="E40" s="3"/>
      <c r="F40" s="3"/>
      <c r="G40" s="7">
        <v>9704</v>
      </c>
      <c r="H40" s="7" t="s">
        <v>84</v>
      </c>
    </row>
    <row r="41" spans="1:8" x14ac:dyDescent="0.25">
      <c r="A41" s="3"/>
      <c r="B41" s="3"/>
      <c r="C41" s="3"/>
      <c r="D41" s="3"/>
      <c r="E41" s="3"/>
      <c r="F41" s="3"/>
      <c r="G41" s="7">
        <v>9727</v>
      </c>
      <c r="H41" s="7" t="s">
        <v>85</v>
      </c>
    </row>
    <row r="42" spans="1:8" x14ac:dyDescent="0.25">
      <c r="A42" s="3"/>
      <c r="B42" s="3"/>
      <c r="C42" s="3"/>
      <c r="D42" s="3"/>
      <c r="E42" s="3"/>
      <c r="F42" s="3"/>
      <c r="G42" s="7">
        <v>9729</v>
      </c>
      <c r="H42" s="7" t="s">
        <v>86</v>
      </c>
    </row>
    <row r="43" spans="1:8" x14ac:dyDescent="0.25">
      <c r="A43" s="3"/>
      <c r="B43" s="3"/>
      <c r="C43" s="3"/>
      <c r="D43" s="3"/>
      <c r="E43" s="3"/>
      <c r="F43" s="3"/>
      <c r="G43" s="7">
        <v>9738</v>
      </c>
      <c r="H43" s="7" t="s">
        <v>87</v>
      </c>
    </row>
    <row r="44" spans="1:8" x14ac:dyDescent="0.25">
      <c r="A44" s="3"/>
      <c r="B44" s="3"/>
      <c r="C44" s="3"/>
      <c r="D44" s="3"/>
      <c r="E44" s="3"/>
      <c r="F44" s="3"/>
      <c r="G44" s="7">
        <v>9747</v>
      </c>
      <c r="H44" s="7" t="s">
        <v>88</v>
      </c>
    </row>
    <row r="45" spans="1:8" x14ac:dyDescent="0.25">
      <c r="A45" s="3"/>
      <c r="B45" s="3"/>
      <c r="C45" s="3"/>
      <c r="D45" s="3"/>
      <c r="E45" s="3"/>
      <c r="F45" s="3"/>
      <c r="G45" s="7">
        <v>25173</v>
      </c>
      <c r="H45" s="7" t="s">
        <v>89</v>
      </c>
    </row>
    <row r="46" spans="1:8" x14ac:dyDescent="0.25">
      <c r="A46" s="3"/>
      <c r="B46" s="3"/>
      <c r="C46" s="3"/>
      <c r="D46" s="3"/>
      <c r="E46" s="3"/>
      <c r="F46" s="3"/>
      <c r="G46" s="7">
        <v>13121016</v>
      </c>
      <c r="H46" s="7" t="s">
        <v>90</v>
      </c>
    </row>
    <row r="47" spans="1:8" x14ac:dyDescent="0.25">
      <c r="A47" s="3"/>
      <c r="B47" s="3"/>
      <c r="C47" s="3"/>
      <c r="D47" s="3"/>
      <c r="E47" s="3"/>
      <c r="F47" s="3"/>
      <c r="G47" s="7">
        <v>13121017</v>
      </c>
      <c r="H47" s="7" t="s">
        <v>91</v>
      </c>
    </row>
    <row r="48" spans="1:8" x14ac:dyDescent="0.25">
      <c r="A48" s="3"/>
      <c r="B48" s="3"/>
      <c r="C48" s="3"/>
      <c r="D48" s="3"/>
      <c r="E48" s="3"/>
      <c r="F48" s="3"/>
      <c r="G48" s="7">
        <v>13121018</v>
      </c>
      <c r="H48" s="7" t="s">
        <v>92</v>
      </c>
    </row>
    <row r="49" spans="1:8" x14ac:dyDescent="0.25">
      <c r="A49" s="3"/>
      <c r="B49" s="3"/>
      <c r="C49" s="3"/>
      <c r="D49" s="3"/>
      <c r="E49" s="3"/>
      <c r="F49" s="3"/>
      <c r="G49" s="7">
        <v>13121019</v>
      </c>
      <c r="H49" s="7" t="s">
        <v>93</v>
      </c>
    </row>
    <row r="50" spans="1:8" x14ac:dyDescent="0.25">
      <c r="A50" s="3"/>
      <c r="B50" s="3"/>
      <c r="C50" s="3"/>
      <c r="D50" s="3"/>
      <c r="E50" s="3"/>
      <c r="F50" s="3"/>
      <c r="G50" s="7">
        <v>13121020</v>
      </c>
      <c r="H50" s="7" t="s">
        <v>94</v>
      </c>
    </row>
    <row r="51" spans="1:8" x14ac:dyDescent="0.25">
      <c r="A51" s="3"/>
      <c r="B51" s="3"/>
      <c r="C51" s="3"/>
      <c r="D51" s="3"/>
      <c r="E51" s="3"/>
      <c r="F51" s="3"/>
      <c r="G51" s="7">
        <v>13121021</v>
      </c>
      <c r="H51" s="7" t="s">
        <v>95</v>
      </c>
    </row>
    <row r="52" spans="1:8" x14ac:dyDescent="0.25">
      <c r="A52" s="3"/>
      <c r="B52" s="3"/>
      <c r="C52" s="3"/>
      <c r="D52" s="3"/>
      <c r="E52" s="3"/>
      <c r="F52" s="3"/>
      <c r="G52" s="7">
        <v>13121022</v>
      </c>
      <c r="H52" s="7" t="s">
        <v>96</v>
      </c>
    </row>
    <row r="53" spans="1:8" x14ac:dyDescent="0.25">
      <c r="A53" s="3"/>
      <c r="B53" s="3"/>
      <c r="C53" s="3"/>
      <c r="D53" s="3"/>
      <c r="E53" s="3"/>
      <c r="F53" s="3"/>
      <c r="G53" s="7">
        <v>13121023</v>
      </c>
      <c r="H53" s="7" t="s">
        <v>97</v>
      </c>
    </row>
    <row r="54" spans="1:8" x14ac:dyDescent="0.25">
      <c r="A54" s="3"/>
      <c r="B54" s="3"/>
      <c r="C54" s="3"/>
      <c r="D54" s="3"/>
      <c r="E54" s="3"/>
      <c r="F54" s="3"/>
      <c r="G54" s="7">
        <v>13121024</v>
      </c>
      <c r="H54" s="7" t="s">
        <v>98</v>
      </c>
    </row>
    <row r="55" spans="1:8" x14ac:dyDescent="0.25">
      <c r="A55" s="3"/>
      <c r="B55" s="3"/>
      <c r="C55" s="3"/>
      <c r="D55" s="3"/>
      <c r="E55" s="3"/>
      <c r="F55" s="3"/>
      <c r="G55" s="7">
        <v>13121025</v>
      </c>
      <c r="H55" s="7" t="s">
        <v>99</v>
      </c>
    </row>
    <row r="56" spans="1:8" x14ac:dyDescent="0.25">
      <c r="A56" s="3"/>
      <c r="B56" s="3"/>
      <c r="C56" s="3"/>
      <c r="D56" s="3"/>
      <c r="E56" s="3"/>
      <c r="F56" s="3"/>
      <c r="G56" s="7">
        <v>9405</v>
      </c>
      <c r="H56" s="7" t="s">
        <v>100</v>
      </c>
    </row>
    <row r="57" spans="1:8" x14ac:dyDescent="0.25">
      <c r="A57" s="3"/>
      <c r="B57" s="3"/>
      <c r="C57" s="3"/>
      <c r="D57" s="3"/>
      <c r="E57" s="3"/>
      <c r="F57" s="3"/>
      <c r="G57" s="7">
        <v>9406</v>
      </c>
      <c r="H57" s="7" t="s">
        <v>101</v>
      </c>
    </row>
    <row r="58" spans="1:8" x14ac:dyDescent="0.25">
      <c r="A58" s="3"/>
      <c r="B58" s="3"/>
      <c r="C58" s="3"/>
      <c r="D58" s="3"/>
      <c r="E58" s="3"/>
      <c r="F58" s="3"/>
      <c r="G58" s="7">
        <v>9413</v>
      </c>
      <c r="H58" s="7" t="s">
        <v>102</v>
      </c>
    </row>
    <row r="59" spans="1:8" x14ac:dyDescent="0.25">
      <c r="A59" s="3"/>
      <c r="B59" s="3"/>
      <c r="C59" s="3"/>
      <c r="D59" s="3"/>
      <c r="E59" s="3"/>
      <c r="F59" s="3"/>
      <c r="G59" s="7">
        <v>9415</v>
      </c>
      <c r="H59" s="7" t="s">
        <v>103</v>
      </c>
    </row>
    <row r="60" spans="1:8" x14ac:dyDescent="0.25">
      <c r="A60" s="3"/>
      <c r="B60" s="3"/>
      <c r="C60" s="3"/>
      <c r="D60" s="3"/>
      <c r="E60" s="3"/>
      <c r="F60" s="3"/>
      <c r="G60" s="7">
        <v>9426</v>
      </c>
      <c r="H60" s="7" t="s">
        <v>104</v>
      </c>
    </row>
    <row r="61" spans="1:8" x14ac:dyDescent="0.25">
      <c r="A61" s="3"/>
      <c r="B61" s="3"/>
      <c r="C61" s="3"/>
      <c r="D61" s="3"/>
      <c r="E61" s="3"/>
      <c r="F61" s="3"/>
      <c r="G61" s="7">
        <v>9431</v>
      </c>
      <c r="H61" s="7" t="s">
        <v>105</v>
      </c>
    </row>
    <row r="62" spans="1:8" x14ac:dyDescent="0.25">
      <c r="A62" s="3"/>
      <c r="B62" s="3"/>
      <c r="C62" s="3"/>
      <c r="D62" s="3"/>
      <c r="E62" s="3"/>
      <c r="F62" s="3"/>
      <c r="G62" s="7">
        <v>9433</v>
      </c>
      <c r="H62" s="7" t="s">
        <v>106</v>
      </c>
    </row>
    <row r="63" spans="1:8" x14ac:dyDescent="0.25">
      <c r="A63" s="3"/>
      <c r="B63" s="3"/>
      <c r="C63" s="3"/>
      <c r="D63" s="3"/>
      <c r="E63" s="3"/>
      <c r="F63" s="3"/>
      <c r="G63" s="7">
        <v>9444</v>
      </c>
      <c r="H63" s="7" t="s">
        <v>107</v>
      </c>
    </row>
    <row r="64" spans="1:8" x14ac:dyDescent="0.25">
      <c r="G64" s="7">
        <v>9460</v>
      </c>
      <c r="H64" s="7" t="s">
        <v>108</v>
      </c>
    </row>
    <row r="65" spans="7:8" x14ac:dyDescent="0.25">
      <c r="G65" s="7">
        <v>9461</v>
      </c>
      <c r="H65" s="7" t="s">
        <v>109</v>
      </c>
    </row>
    <row r="66" spans="7:8" x14ac:dyDescent="0.25">
      <c r="G66" s="7">
        <v>13130003</v>
      </c>
      <c r="H66" s="7" t="s">
        <v>110</v>
      </c>
    </row>
    <row r="67" spans="7:8" x14ac:dyDescent="0.25">
      <c r="G67" s="7">
        <v>13130004</v>
      </c>
      <c r="H67" s="7" t="s">
        <v>111</v>
      </c>
    </row>
    <row r="68" spans="7:8" x14ac:dyDescent="0.25">
      <c r="G68" s="7">
        <v>13130006</v>
      </c>
      <c r="H68" s="7" t="s">
        <v>112</v>
      </c>
    </row>
    <row r="69" spans="7:8" x14ac:dyDescent="0.25">
      <c r="G69" s="7">
        <v>13130007</v>
      </c>
      <c r="H69" s="7" t="s">
        <v>113</v>
      </c>
    </row>
    <row r="70" spans="7:8" x14ac:dyDescent="0.25">
      <c r="G70" s="7">
        <v>13130008</v>
      </c>
      <c r="H70" s="7" t="s">
        <v>114</v>
      </c>
    </row>
    <row r="71" spans="7:8" x14ac:dyDescent="0.25">
      <c r="G71" s="7">
        <v>9608</v>
      </c>
      <c r="H71" s="7" t="s">
        <v>115</v>
      </c>
    </row>
    <row r="72" spans="7:8" x14ac:dyDescent="0.25">
      <c r="G72" s="7">
        <v>9601</v>
      </c>
      <c r="H72" s="7" t="s">
        <v>116</v>
      </c>
    </row>
    <row r="73" spans="7:8" x14ac:dyDescent="0.25">
      <c r="G73" s="7">
        <v>9629</v>
      </c>
      <c r="H73" s="7" t="s">
        <v>117</v>
      </c>
    </row>
    <row r="74" spans="7:8" x14ac:dyDescent="0.25">
      <c r="G74" s="7">
        <v>9593</v>
      </c>
      <c r="H74" s="7" t="s">
        <v>118</v>
      </c>
    </row>
    <row r="75" spans="7:8" x14ac:dyDescent="0.25">
      <c r="G75" s="7">
        <v>9614</v>
      </c>
      <c r="H75" s="7" t="s">
        <v>119</v>
      </c>
    </row>
    <row r="76" spans="7:8" x14ac:dyDescent="0.25">
      <c r="G76" s="7">
        <v>9592</v>
      </c>
      <c r="H76" s="7" t="s">
        <v>120</v>
      </c>
    </row>
    <row r="77" spans="7:8" x14ac:dyDescent="0.25">
      <c r="G77" s="7">
        <v>9611</v>
      </c>
      <c r="H77" s="7" t="s">
        <v>121</v>
      </c>
    </row>
    <row r="78" spans="7:8" x14ac:dyDescent="0.25">
      <c r="G78" s="7">
        <v>9625</v>
      </c>
      <c r="H78" s="7" t="s">
        <v>122</v>
      </c>
    </row>
    <row r="79" spans="7:8" x14ac:dyDescent="0.25">
      <c r="G79" s="7">
        <v>9631</v>
      </c>
      <c r="H79" s="7" t="s">
        <v>123</v>
      </c>
    </row>
    <row r="80" spans="7:8" x14ac:dyDescent="0.25">
      <c r="G80" s="7">
        <v>9600</v>
      </c>
      <c r="H80" s="7" t="s">
        <v>124</v>
      </c>
    </row>
    <row r="81" spans="7:8" x14ac:dyDescent="0.25">
      <c r="G81" s="7">
        <v>13131015</v>
      </c>
      <c r="H81" s="7" t="s">
        <v>125</v>
      </c>
    </row>
    <row r="82" spans="7:8" x14ac:dyDescent="0.25">
      <c r="G82" s="7">
        <v>13131014</v>
      </c>
      <c r="H82" s="7" t="s">
        <v>126</v>
      </c>
    </row>
    <row r="83" spans="7:8" x14ac:dyDescent="0.25">
      <c r="G83" s="7">
        <v>13131005</v>
      </c>
      <c r="H83" s="7" t="s">
        <v>127</v>
      </c>
    </row>
    <row r="84" spans="7:8" x14ac:dyDescent="0.25">
      <c r="G84" s="7">
        <v>13131016</v>
      </c>
      <c r="H84" s="7" t="s">
        <v>128</v>
      </c>
    </row>
    <row r="85" spans="7:8" x14ac:dyDescent="0.25">
      <c r="G85" s="7">
        <v>13131009</v>
      </c>
      <c r="H85" s="7" t="s">
        <v>129</v>
      </c>
    </row>
    <row r="86" spans="7:8" x14ac:dyDescent="0.25">
      <c r="G86" s="7">
        <v>13131010</v>
      </c>
      <c r="H86" s="7" t="s">
        <v>130</v>
      </c>
    </row>
    <row r="87" spans="7:8" x14ac:dyDescent="0.25">
      <c r="G87" s="7">
        <v>9586</v>
      </c>
      <c r="H87" s="7" t="s">
        <v>131</v>
      </c>
    </row>
    <row r="88" spans="7:8" x14ac:dyDescent="0.25">
      <c r="G88" s="7">
        <v>9599</v>
      </c>
      <c r="H88" s="7" t="s">
        <v>132</v>
      </c>
    </row>
    <row r="89" spans="7:8" x14ac:dyDescent="0.25">
      <c r="G89" s="25">
        <v>132302</v>
      </c>
      <c r="H89" s="25" t="s">
        <v>139</v>
      </c>
    </row>
    <row r="90" spans="7:8" x14ac:dyDescent="0.25">
      <c r="G90" s="25">
        <v>132303</v>
      </c>
      <c r="H90" s="25" t="s">
        <v>140</v>
      </c>
    </row>
    <row r="91" spans="7:8" x14ac:dyDescent="0.25">
      <c r="G91" s="25">
        <v>132305</v>
      </c>
      <c r="H91" s="25" t="s">
        <v>141</v>
      </c>
    </row>
    <row r="92" spans="7:8" x14ac:dyDescent="0.25">
      <c r="G92" s="25">
        <v>132307</v>
      </c>
      <c r="H92" s="25" t="s">
        <v>142</v>
      </c>
    </row>
  </sheetData>
  <phoneticPr fontId="9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9D2D723E31AD49A99754977A535CD5" ma:contentTypeVersion="14" ma:contentTypeDescription="Crear nuevo documento." ma:contentTypeScope="" ma:versionID="001b7acd8f2976038f93c737239349ab">
  <xsd:schema xmlns:xsd="http://www.w3.org/2001/XMLSchema" xmlns:xs="http://www.w3.org/2001/XMLSchema" xmlns:p="http://schemas.microsoft.com/office/2006/metadata/properties" xmlns:ns2="90a45df5-754a-416f-a615-16c5d1ea499f" xmlns:ns3="6a760d76-56c9-4564-aaf3-217c3e3877a9" targetNamespace="http://schemas.microsoft.com/office/2006/metadata/properties" ma:root="true" ma:fieldsID="5799675022c05d4610dc618118321a1c" ns2:_="" ns3:_="">
    <xsd:import namespace="90a45df5-754a-416f-a615-16c5d1ea499f"/>
    <xsd:import namespace="6a760d76-56c9-4564-aaf3-217c3e3877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Descripcion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45df5-754a-416f-a615-16c5d1ea49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e7244f69-ae3d-44f0-8520-e9ca9e484d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Descripcion" ma:index="19" nillable="true" ma:displayName="Descripcion" ma:format="Dropdown" ma:internalName="Descripcion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760d76-56c9-4564-aaf3-217c3e3877a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946e9c1-d1f5-4fe6-8546-bb8199188854}" ma:internalName="TaxCatchAll" ma:showField="CatchAllData" ma:web="6a760d76-56c9-4564-aaf3-217c3e387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760d76-56c9-4564-aaf3-217c3e3877a9" xsi:nil="true"/>
    <Descripcion xmlns="90a45df5-754a-416f-a615-16c5d1ea499f" xsi:nil="true"/>
    <lcf76f155ced4ddcb4097134ff3c332f xmlns="90a45df5-754a-416f-a615-16c5d1ea499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50315EE-5CBC-4C98-BBBB-4BA8C45A2FA2}"/>
</file>

<file path=customXml/itemProps2.xml><?xml version="1.0" encoding="utf-8"?>
<ds:datastoreItem xmlns:ds="http://schemas.openxmlformats.org/officeDocument/2006/customXml" ds:itemID="{14C42FC5-A3D4-4560-9AE1-6017F2328BC2}"/>
</file>

<file path=customXml/itemProps3.xml><?xml version="1.0" encoding="utf-8"?>
<ds:datastoreItem xmlns:ds="http://schemas.openxmlformats.org/officeDocument/2006/customXml" ds:itemID="{FB802B63-843D-4A55-8BDF-E6AA049F97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EJEMPLO</vt:lpstr>
      <vt:lpstr>REPORTE MENSUAL</vt:lpstr>
      <vt:lpstr>ATRASOS</vt:lpstr>
      <vt:lpstr>FERIADOS</vt:lpstr>
      <vt:lpstr>FERIADOS 25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Díaz</dc:creator>
  <cp:lastModifiedBy>Ignacio Javier Cayo Ugalde</cp:lastModifiedBy>
  <dcterms:created xsi:type="dcterms:W3CDTF">2023-04-06T14:55:36Z</dcterms:created>
  <dcterms:modified xsi:type="dcterms:W3CDTF">2025-08-22T12:15:31Z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2024-12-02T15:37:57Z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1c9e4da2-29f1-483c-bdbb-8582927254f2</vt:lpwstr>
  </property>
  <property fmtid="{D5CDD505-2E9C-101B-9397-08002B2CF9AE}" pid="7" name="MSIP_Label_defa4170-0d19-0005-0004-bc88714345d2_ActionId">
    <vt:lpwstr>f4cd4153-ac3e-429a-a96e-adf6352cbd1c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0x010100C89D2D723E31AD49A99754977A535CD5</vt:lpwstr>
  </property>
</Properties>
</file>