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slepsantarosa-my.sharepoint.com/personal/alex_suazo_slepsantarosa_gob_cl/Documents/Formación Integral 2024-2025/2026/SALIDAS PEDAGÓGICAS 2026/"/>
    </mc:Choice>
  </mc:AlternateContent>
  <xr:revisionPtr revIDLastSave="21" documentId="13_ncr:1_{9166E666-5342-4E03-AAC8-9A940492F60F}" xr6:coauthVersionLast="47" xr6:coauthVersionMax="47" xr10:uidLastSave="{1E5882CD-9A8C-45A6-AD24-1B76F7CA52B2}"/>
  <workbookProtection workbookAlgorithmName="SHA-512" workbookHashValue="FuPMLzbwPnFpwHVLRQJlDM0+vcWiXNvW3SKfEkxCBw2TLj2vGfeyFt16ER/Ec82wjsX/luu7wZHl/V5YWLH+PA==" workbookSaltValue="ciIAEdUk0t/hvfFRvuluLA==" workbookSpinCount="100000" lockStructure="1"/>
  <bookViews>
    <workbookView xWindow="20370" yWindow="-4725" windowWidth="29040" windowHeight="15720" xr2:uid="{C9E85534-89D9-4B0F-90B1-D2DAF81EAF0E}"/>
  </bookViews>
  <sheets>
    <sheet name="SP 2026" sheetId="1" r:id="rId1"/>
    <sheet name="ANEXO 7_A_SALIDAS " sheetId="4" r:id="rId2"/>
    <sheet name="BBDD_antiguo" sheetId="2" state="hidden" r:id="rId3"/>
    <sheet name="BBDD" sheetId="3" state="hidden" r:id="rId4"/>
  </sheets>
  <definedNames>
    <definedName name="_xlnm._FilterDatabase" localSheetId="3" hidden="1">BBDD!$A$68:$B$128</definedName>
    <definedName name="_xlnm._FilterDatabase" localSheetId="2" hidden="1">BBDD_antiguo!$A$68:$B$128</definedName>
    <definedName name="TIPO_BUS">BBDD!$W$2:$W$4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3" i="4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B19" i="1"/>
  <c r="C19" i="1"/>
  <c r="H19" i="1"/>
  <c r="B20" i="1"/>
  <c r="C20" i="1"/>
  <c r="H20" i="1"/>
  <c r="B21" i="1"/>
  <c r="C21" i="1"/>
  <c r="H21" i="1"/>
  <c r="B22" i="1"/>
  <c r="C22" i="1"/>
  <c r="H22" i="1"/>
  <c r="B23" i="1"/>
  <c r="C23" i="1"/>
  <c r="H23" i="1"/>
  <c r="B24" i="1"/>
  <c r="C24" i="1"/>
  <c r="H24" i="1"/>
  <c r="B25" i="1"/>
  <c r="C25" i="1"/>
  <c r="H25" i="1"/>
  <c r="B26" i="1"/>
  <c r="C26" i="1"/>
  <c r="H26" i="1"/>
  <c r="B27" i="1"/>
  <c r="C27" i="1"/>
  <c r="H27" i="1"/>
  <c r="B28" i="1"/>
  <c r="C28" i="1"/>
  <c r="H28" i="1"/>
  <c r="B29" i="1"/>
  <c r="C29" i="1"/>
  <c r="H29" i="1"/>
  <c r="B30" i="1"/>
  <c r="C30" i="1"/>
  <c r="H30" i="1"/>
  <c r="B31" i="1"/>
  <c r="C31" i="1"/>
  <c r="H31" i="1"/>
  <c r="B32" i="1"/>
  <c r="C32" i="1"/>
  <c r="H32" i="1"/>
  <c r="B33" i="1"/>
  <c r="C33" i="1"/>
  <c r="H33" i="1"/>
  <c r="B34" i="1"/>
  <c r="C34" i="1"/>
  <c r="H34" i="1"/>
  <c r="B35" i="1"/>
  <c r="C35" i="1"/>
  <c r="H35" i="1"/>
  <c r="B36" i="1"/>
  <c r="C36" i="1"/>
  <c r="H36" i="1"/>
  <c r="C2" i="1"/>
  <c r="B2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Q37" i="1" l="1"/>
  <c r="D2" i="1" s="1"/>
</calcChain>
</file>

<file path=xl/sharedStrings.xml><?xml version="1.0" encoding="utf-8"?>
<sst xmlns="http://schemas.openxmlformats.org/spreadsheetml/2006/main" count="4088" uniqueCount="565">
  <si>
    <t>Via financiamiento</t>
  </si>
  <si>
    <t>Monto asignado</t>
  </si>
  <si>
    <t>Monto disponible</t>
  </si>
  <si>
    <t>RBD</t>
  </si>
  <si>
    <t>NOMBRE ESTABLECIMIENTO</t>
  </si>
  <si>
    <t>DIRECCIÓN EE</t>
  </si>
  <si>
    <t>CURSO</t>
  </si>
  <si>
    <t>MES DE SALIDA</t>
  </si>
  <si>
    <t>FECHA  DE SALIDA</t>
  </si>
  <si>
    <t>NOMBRE DESTINO</t>
  </si>
  <si>
    <t>DIRECCION</t>
  </si>
  <si>
    <t>HORARIO DE RETIRO EE</t>
  </si>
  <si>
    <t>HORARIO DE DESPACHO AL EE</t>
  </si>
  <si>
    <t>RESPONSABLE DEL ESTALECIMIENTO</t>
  </si>
  <si>
    <t>CONTACTO RESPONSABLE (+569-xxxxxxxx)</t>
  </si>
  <si>
    <t>N° DE PASAJEROS</t>
  </si>
  <si>
    <t>TIPO BUS</t>
  </si>
  <si>
    <t>CANTIDAD DE TIPO DE BUS</t>
  </si>
  <si>
    <t>VALOR APROX TRANSPORTE</t>
  </si>
  <si>
    <t>TOTAL</t>
  </si>
  <si>
    <t>Biblioteca de Santiago</t>
  </si>
  <si>
    <t>VALOR BUS BUS TURISMO 42 PASAJEROS</t>
  </si>
  <si>
    <t>VALOR MINI BUS 30 PASAJEROS</t>
  </si>
  <si>
    <t>Elige el RBD</t>
  </si>
  <si>
    <t>Complejo Deportivo La Cisterna (Canchas, Centro de Equinoterapia Kawelche, CEA)</t>
  </si>
  <si>
    <t>Bosque Santiago</t>
  </si>
  <si>
    <t>VALOR MINI VAN 10 PASAJEROS</t>
  </si>
  <si>
    <t>Elija el tipo de destino</t>
  </si>
  <si>
    <t>EE/JJII</t>
  </si>
  <si>
    <t>DIRECCIOÓN EE</t>
  </si>
  <si>
    <t>Financiamiento</t>
  </si>
  <si>
    <t>Monto sep</t>
  </si>
  <si>
    <t>monto FAEP</t>
  </si>
  <si>
    <t>Mes</t>
  </si>
  <si>
    <t>Curso</t>
  </si>
  <si>
    <t>Columna2</t>
  </si>
  <si>
    <t>Destino</t>
  </si>
  <si>
    <t>TIPO DE SALIDA2</t>
  </si>
  <si>
    <t>COMUNA</t>
  </si>
  <si>
    <t>REGIÓN</t>
  </si>
  <si>
    <t>Monto</t>
  </si>
  <si>
    <t xml:space="preserve">LICEO BETSABE HORMAZABAL DE ALARCON </t>
  </si>
  <si>
    <t>Gaspar Banda N°4047</t>
  </si>
  <si>
    <t>SEP</t>
  </si>
  <si>
    <t>Enero</t>
  </si>
  <si>
    <t>Nivel de transición I</t>
  </si>
  <si>
    <t>ADUANA</t>
  </si>
  <si>
    <t>Salida tipo 1</t>
  </si>
  <si>
    <t>Santiago</t>
  </si>
  <si>
    <t>Metropolitana</t>
  </si>
  <si>
    <t xml:space="preserve">LICEO ANDRES BELLO </t>
  </si>
  <si>
    <t>Soto Aguilar N°1241</t>
  </si>
  <si>
    <t>FAEP</t>
  </si>
  <si>
    <t>Febrero</t>
  </si>
  <si>
    <t>Nivel de transición II</t>
  </si>
  <si>
    <t>Banco Central</t>
  </si>
  <si>
    <t>Agustinas N° 1180</t>
  </si>
  <si>
    <t xml:space="preserve">ESCUELA CONSOLIDADA DAVILA </t>
  </si>
  <si>
    <t>Av. José Joaquín Prieto N°6075</t>
  </si>
  <si>
    <t>Marzo</t>
  </si>
  <si>
    <t>1º básico</t>
  </si>
  <si>
    <t>Barrio Concha Y Toro</t>
  </si>
  <si>
    <t>Entre las calles Alameda, Maturana, Erasmo Escala y Brasil.</t>
  </si>
  <si>
    <t xml:space="preserve">ESCUELA GENERAL BASICA SANTA FE </t>
  </si>
  <si>
    <t>Calle Santa Fe N°528   </t>
  </si>
  <si>
    <t>Abril</t>
  </si>
  <si>
    <t>2º básico</t>
  </si>
  <si>
    <t>Matucana 151</t>
  </si>
  <si>
    <t>Quinta Normal</t>
  </si>
  <si>
    <t xml:space="preserve">ESCUELA TERRITORIO ANTARTICO </t>
  </si>
  <si>
    <t>Tercera Transversal N°5950  </t>
  </si>
  <si>
    <t>Mayo</t>
  </si>
  <si>
    <t xml:space="preserve">3º básico </t>
  </si>
  <si>
    <t>Camino La Pirámide 6000</t>
  </si>
  <si>
    <t>Huechuraba</t>
  </si>
  <si>
    <t xml:space="preserve">ESCUELA POETAS DE CHILE </t>
  </si>
  <si>
    <t>Juan Bastías N°2890</t>
  </si>
  <si>
    <t>Junio</t>
  </si>
  <si>
    <t>4º básico</t>
  </si>
  <si>
    <t>Buffet Imperial</t>
  </si>
  <si>
    <t>Av. Departamental #4400</t>
  </si>
  <si>
    <t>Macul</t>
  </si>
  <si>
    <t xml:space="preserve">ESCUELA LA VICTORIA </t>
  </si>
  <si>
    <t>Primero de Mayo N°4710</t>
  </si>
  <si>
    <t>Julio</t>
  </si>
  <si>
    <t>5º básico</t>
  </si>
  <si>
    <t xml:space="preserve">Casa de Memoria José Domingo Cañas </t>
  </si>
  <si>
    <t>Avenida José Domingo Cañas 1367</t>
  </si>
  <si>
    <t>Ñuñoa</t>
  </si>
  <si>
    <t xml:space="preserve">LICEO MUNICIPAL ENRIQUE BACKAUSSE </t>
  </si>
  <si>
    <t>Calle José Backausse N°2850</t>
  </si>
  <si>
    <t>Agosto</t>
  </si>
  <si>
    <t>6º básico</t>
  </si>
  <si>
    <t>Cementerio General</t>
  </si>
  <si>
    <t>Alberto Zañartu 951 y Avda. La Paz</t>
  </si>
  <si>
    <t>Recoleta</t>
  </si>
  <si>
    <t xml:space="preserve">ESCUELA CENTRO EDUC. REP. MEXICANA </t>
  </si>
  <si>
    <t>Av. Salvador Allende N°2140</t>
  </si>
  <si>
    <t>Septiembre</t>
  </si>
  <si>
    <t>7º básico</t>
  </si>
  <si>
    <t>Av. José Joquín Prieto (Panamericana) esquina El Parrón</t>
  </si>
  <si>
    <t>La Cisterna</t>
  </si>
  <si>
    <t xml:space="preserve">ESCUELA LLANO SUBERCASEAUX </t>
  </si>
  <si>
    <t>Soto Aguilar N°1509</t>
  </si>
  <si>
    <t>Octubre</t>
  </si>
  <si>
    <t>8º básico</t>
  </si>
  <si>
    <t>Centro Patrimonial Recoleta Dominica</t>
  </si>
  <si>
    <t>Recoleta 683</t>
  </si>
  <si>
    <t xml:space="preserve">ESCUELA BASICA RICARDO E. LATCHMAN </t>
  </si>
  <si>
    <t>Félix Osegueda N°4031</t>
  </si>
  <si>
    <t>Noviembre</t>
  </si>
  <si>
    <t>Iº medio</t>
  </si>
  <si>
    <t>Centro RECREAR La Cisterna</t>
  </si>
  <si>
    <t>Pedro Aguirre Cerda 0191</t>
  </si>
  <si>
    <t xml:space="preserve">ESCUELA VILLA SAN MIGUEL </t>
  </si>
  <si>
    <t>Av. Lazo N°1520   </t>
  </si>
  <si>
    <t>Diciembre</t>
  </si>
  <si>
    <t>IIº medio</t>
  </si>
  <si>
    <t>Cerro Chena</t>
  </si>
  <si>
    <t>Panamericana sur, ubicado entre San Bernardo y Calera de Tango</t>
  </si>
  <si>
    <t>San Bernardo</t>
  </si>
  <si>
    <t xml:space="preserve">ESCUELA BASICA MUNICIPAL </t>
  </si>
  <si>
    <t>Carmen Mena °906</t>
  </si>
  <si>
    <t>IIIº medio HC</t>
  </si>
  <si>
    <t>CERRO SAN CRISTOBAL  Acceso Pío Nono (PARQUEMET - zoologico -Parque Japones)</t>
  </si>
  <si>
    <t>Pío Nono 450</t>
  </si>
  <si>
    <t xml:space="preserve">Recoleta </t>
  </si>
  <si>
    <t xml:space="preserve">ESCUELA ESPECIAL LOS CEDROS DEL LIBANO </t>
  </si>
  <si>
    <t xml:space="preserve"> Ricardo Morales N°3370</t>
  </si>
  <si>
    <t>IVº medio HC</t>
  </si>
  <si>
    <t xml:space="preserve">CERRO SAN CRISTOBAL  Acceso Providencia(Jardín Mapulemu, Jardín Japonés, Parque Aventura) </t>
  </si>
  <si>
    <t>acceso  ubicado en Pedro de Valdivia norte, a menos de 1.5 km de las estaciones de metro Tobalaba y Pedro de Valdivia.</t>
  </si>
  <si>
    <t xml:space="preserve">Providencia </t>
  </si>
  <si>
    <t xml:space="preserve">ESCUELA DE PARVULOS RAYITO DE LUZ </t>
  </si>
  <si>
    <t>Mariquina N° 3244</t>
  </si>
  <si>
    <t>IIIº medio TP</t>
  </si>
  <si>
    <t>CINE PLAZA MALL VESPUCIO</t>
  </si>
  <si>
    <t>Vicuña Mackenna 7110</t>
  </si>
  <si>
    <t>La Florida</t>
  </si>
  <si>
    <t xml:space="preserve">ESCUELA BOROA </t>
  </si>
  <si>
    <t>Boroa N°6079</t>
  </si>
  <si>
    <t>IVº medio TP</t>
  </si>
  <si>
    <t>CINE PLAZA OESTE</t>
  </si>
  <si>
    <t>Av. Américo Vespucio 1501</t>
  </si>
  <si>
    <t>Cerrillos</t>
  </si>
  <si>
    <t xml:space="preserve">INST. REG. EDUC ADULTOS SAN MIGUEL </t>
  </si>
  <si>
    <t>San Ignacio N°4010</t>
  </si>
  <si>
    <t>Laboral 1</t>
  </si>
  <si>
    <t>CINÉPOLIS Avenida Lo Espejo</t>
  </si>
  <si>
    <t>Av. Lo Espejo 943</t>
  </si>
  <si>
    <t>Lo Espejo</t>
  </si>
  <si>
    <t xml:space="preserve">ESC. ESP. DE ADULTOS HUGO MORALES BIZAMA </t>
  </si>
  <si>
    <t>Laboral 2</t>
  </si>
  <si>
    <t>CINEPOLIS, LA FLORIDA</t>
  </si>
  <si>
    <t>Av. La Florida 8988</t>
  </si>
  <si>
    <t xml:space="preserve">LICEO MUNICIPALIZADO ARAUCANIA </t>
  </si>
  <si>
    <t>Profesor David Catilao Riveros 8153   </t>
  </si>
  <si>
    <t>Nivel Básico 1</t>
  </si>
  <si>
    <t xml:space="preserve">Circulo Empresarial </t>
  </si>
  <si>
    <t>Avda. Del Valle Sur 577</t>
  </si>
  <si>
    <t xml:space="preserve">ESCUELA BASICA SENDERO DEL SABER </t>
  </si>
  <si>
    <t>Carlos Dávila 7551   </t>
  </si>
  <si>
    <t>Nivel Básico 2</t>
  </si>
  <si>
    <t>Empresa Carlos Salinas</t>
  </si>
  <si>
    <t>Pedro Aguirre Cerda</t>
  </si>
  <si>
    <t xml:space="preserve">ESCUELA BASICA EDUCADORES DE CHILE </t>
  </si>
  <si>
    <t>Doñihue 1887   </t>
  </si>
  <si>
    <t>Nivel Básico 3</t>
  </si>
  <si>
    <t>Empresa Carozzi</t>
  </si>
  <si>
    <t>Av. Pdte. Jorge Alessandri Rodríguez 5201</t>
  </si>
  <si>
    <t xml:space="preserve">LICEO MUNICIPAL PURKUYEN </t>
  </si>
  <si>
    <t>Pedro Aguirre Cerda N°8450</t>
  </si>
  <si>
    <t xml:space="preserve">1er nivel </t>
  </si>
  <si>
    <t>Empresa Watts</t>
  </si>
  <si>
    <t>Pdte Jorge Alessandri Rodríguez 10501</t>
  </si>
  <si>
    <t xml:space="preserve">ESCUELA NANIHUE </t>
  </si>
  <si>
    <t>Riquelme 1922   </t>
  </si>
  <si>
    <t xml:space="preserve">2do nivel </t>
  </si>
  <si>
    <t>Estación Mapocho</t>
  </si>
  <si>
    <t xml:space="preserve">CENTRO EDUCACIONAL MUNICIPAL SAN RAMON </t>
  </si>
  <si>
    <t>Almirante Latorre  9701</t>
  </si>
  <si>
    <t xml:space="preserve">3er nivel </t>
  </si>
  <si>
    <t xml:space="preserve">Estadio Monumental </t>
  </si>
  <si>
    <t>Av. Marathon 5300</t>
  </si>
  <si>
    <t xml:space="preserve">CENTRO EDUCACIONAL MIRADOR </t>
  </si>
  <si>
    <t>Mirador N° 1470</t>
  </si>
  <si>
    <t>Estadio Nacional (Memorial, CAR, otros)</t>
  </si>
  <si>
    <t>Av. Grecia 2001</t>
  </si>
  <si>
    <t xml:space="preserve">ESCUELA BASICA TUPAHUE </t>
  </si>
  <si>
    <t>Aurora De Chile 10104   </t>
  </si>
  <si>
    <t>Fabrica de alimentos BIMBO Marinela</t>
  </si>
  <si>
    <t>Calle Cañaveral 100</t>
  </si>
  <si>
    <t>Quilicura</t>
  </si>
  <si>
    <t xml:space="preserve">ESCUELA BASICA KARELMAPU </t>
  </si>
  <si>
    <t>Almirante Latorre 9299   </t>
  </si>
  <si>
    <t xml:space="preserve">FISCALÍA METROPOLITANA SAN MIGUEL y del territorio </t>
  </si>
  <si>
    <t>Gran Av. José Miguel Carrera 3814</t>
  </si>
  <si>
    <t>La Cisterna, San Miguel,Ramón, Lo Espejo. PAC, San</t>
  </si>
  <si>
    <t xml:space="preserve">ESCUELA BASICA VILLA LA CULTURA </t>
  </si>
  <si>
    <t>Galvarino 10252   </t>
  </si>
  <si>
    <t>Fundación SERC</t>
  </si>
  <si>
    <t>Diagonal las Torres 2640</t>
  </si>
  <si>
    <t>Peñalolén</t>
  </si>
  <si>
    <t xml:space="preserve">ESCUELA BASICA ALIVEN </t>
  </si>
  <si>
    <t>Almirante Latorre 9835   </t>
  </si>
  <si>
    <t>GAM</t>
  </si>
  <si>
    <t>Av. Alameda Libertador Bernardo O'Higgins 227</t>
  </si>
  <si>
    <t xml:space="preserve">ESCUELA ESPECIAL DE ADULTOS </t>
  </si>
  <si>
    <t>Av. Santa Rosa N° 9449</t>
  </si>
  <si>
    <t>INFOCAP</t>
  </si>
  <si>
    <t>Av. Departamental 440</t>
  </si>
  <si>
    <t>San Joaquín</t>
  </si>
  <si>
    <t xml:space="preserve">CENTRO DUC.CARDENAL JOSE MARIA CARO </t>
  </si>
  <si>
    <t>Cardenal José María Caro N°03745</t>
  </si>
  <si>
    <t>KIDZANIA</t>
  </si>
  <si>
    <t>Boulevard -2 Vida Parque (Parque Araucano - Pdte. Riesco 5330</t>
  </si>
  <si>
    <t>Las Condes</t>
  </si>
  <si>
    <t xml:space="preserve">LICEO POLITECNICO CIENCIA Y TECNOLOGIA </t>
  </si>
  <si>
    <t>Av. Goycolea 469</t>
  </si>
  <si>
    <t xml:space="preserve">Paseo Londres (Londres 38-Museo de Arte Colonial San Francisco) </t>
  </si>
  <si>
    <t>entre la av. Libertador Bernardo O´Higgins (alameda) por el norte y la calle Alonso de Ovalle por el sur.</t>
  </si>
  <si>
    <t xml:space="preserve">LICEO POLIVALENTE EUGENIO PEREIRA SALAS </t>
  </si>
  <si>
    <t>Calle Cooperación N° 4581</t>
  </si>
  <si>
    <t>MAC</t>
  </si>
  <si>
    <t>Av. Matucana 464</t>
  </si>
  <si>
    <t xml:space="preserve">LICEO POLIVALENTE </t>
  </si>
  <si>
    <t>Inés de Suárez N°6970</t>
  </si>
  <si>
    <t>Matucana 100</t>
  </si>
  <si>
    <t>Av. Matucana 100</t>
  </si>
  <si>
    <t>Estación Central</t>
  </si>
  <si>
    <t xml:space="preserve">COLEGIO NACIONES UNIDAS </t>
  </si>
  <si>
    <t>Isabel La Católica N°0960</t>
  </si>
  <si>
    <t>Museo Aeronáutico</t>
  </si>
  <si>
    <t>Avenida Pedro Aguirre Cerda Nº 5.000 (Ex camino Melipilla)</t>
  </si>
  <si>
    <t xml:space="preserve">COLEGIO PALESTINO </t>
  </si>
  <si>
    <t>Av. El Parrón N°554</t>
  </si>
  <si>
    <t>Museo Artequín</t>
  </si>
  <si>
    <t>Av Portales 3530</t>
  </si>
  <si>
    <t xml:space="preserve">LICEO POLIVALENTE OLOF PALME </t>
  </si>
  <si>
    <t>Julio Covarrubias N°9370</t>
  </si>
  <si>
    <t>Museo Casa Colorada</t>
  </si>
  <si>
    <t>calle Merced 890, a pasos de la Plaza de Armas y frente al paseo Phillips</t>
  </si>
  <si>
    <t xml:space="preserve">ESCUELA ESPERANZA JOVEN </t>
  </si>
  <si>
    <t>Colón N°6918</t>
  </si>
  <si>
    <t>Museo de Arte Precolombino</t>
  </si>
  <si>
    <t>Bandera 361</t>
  </si>
  <si>
    <t xml:space="preserve">ESCUELA LO VALLEDOR </t>
  </si>
  <si>
    <t>Arturo Alessandri N°6378</t>
  </si>
  <si>
    <t>Museo de Bellas Artes</t>
  </si>
  <si>
    <t>José Miguel de la Barra 650</t>
  </si>
  <si>
    <t xml:space="preserve">ESCUELA BASICA SALOMON SACK </t>
  </si>
  <si>
    <t>Diagonal Las Torres N°7850</t>
  </si>
  <si>
    <t xml:space="preserve">Parque Quinta Normal (Museo de Ciencia y Tecnología-Museo Historia Natural- Museo Ferroviario) </t>
  </si>
  <si>
    <t>Av. Matucana 520</t>
  </si>
  <si>
    <t xml:space="preserve">ESCUELA BAS. OSCAR ENCALADA YOVANOVICH </t>
  </si>
  <si>
    <t>Pedro Aguirre Cerda N°184</t>
  </si>
  <si>
    <t>Museo de la Anatomía</t>
  </si>
  <si>
    <t>Prof. Zañartu 1130</t>
  </si>
  <si>
    <t>Independencia</t>
  </si>
  <si>
    <t xml:space="preserve">ESCUELA BLUE STAR COLLEGE </t>
  </si>
  <si>
    <t xml:space="preserve">Monterrey N°7519 </t>
  </si>
  <si>
    <t>Museo de la Educación</t>
  </si>
  <si>
    <t>Compañía de Jesus 3150, esquina Chacabuco</t>
  </si>
  <si>
    <t xml:space="preserve">ESCUELA BASICA SANTA ADRIANA </t>
  </si>
  <si>
    <t>Calle B S/N &amp; Avenida lo Ovalle, Pje. 38 2238</t>
  </si>
  <si>
    <t>Museo de la Memoria y los DDHH</t>
  </si>
  <si>
    <t>Matucana 501</t>
  </si>
  <si>
    <t xml:space="preserve">ESCUELA BASICA ACAPULCO </t>
  </si>
  <si>
    <t>Calle Acapulco N°7661</t>
  </si>
  <si>
    <t>Museo de los Bomberos</t>
  </si>
  <si>
    <t>ESCUELA BÁSICA SANTA OLGA DE KIEV</t>
  </si>
  <si>
    <t>México N°02444</t>
  </si>
  <si>
    <t>Museo de Química y Farmacia Profesor César Leyton</t>
  </si>
  <si>
    <t>Merced 50</t>
  </si>
  <si>
    <t xml:space="preserve">COLEGIO HERNAN OLGUIN </t>
  </si>
  <si>
    <t>AVENIDA RAÚL SILVA HENRÍQUEZ N°8108</t>
  </si>
  <si>
    <t>Museo del Sonido</t>
  </si>
  <si>
    <t>Huérfanos 2919</t>
  </si>
  <si>
    <t xml:space="preserve">LICEO PORTAL DE LA CISTERNA </t>
  </si>
  <si>
    <t>Esmeralda N°6305</t>
  </si>
  <si>
    <t>Museo Histórico Nacional</t>
  </si>
  <si>
    <t>Plaza de armas 951</t>
  </si>
  <si>
    <t xml:space="preserve">LICEO TENIENTE FRANCISCO MERY AGUIRRE </t>
  </si>
  <si>
    <t>Centenario N°2854</t>
  </si>
  <si>
    <t>Museo Interactivo Mirador (MIM)</t>
  </si>
  <si>
    <t>Av. Punta Arenas 6711</t>
  </si>
  <si>
    <t>La Granja</t>
  </si>
  <si>
    <t xml:space="preserve">ESCUELA CIUDAD DE BARCELONA </t>
  </si>
  <si>
    <t>Maya N°5961</t>
  </si>
  <si>
    <t>Museo La Chascona</t>
  </si>
  <si>
    <t>Fernando Márquez de La Plata 0192</t>
  </si>
  <si>
    <t>Providencia</t>
  </si>
  <si>
    <t xml:space="preserve">ESCUELA VILLA SUR </t>
  </si>
  <si>
    <t>Los Molles N°2973</t>
  </si>
  <si>
    <t>Museo MAVI UC</t>
  </si>
  <si>
    <t>José Victorino Lastarria 307</t>
  </si>
  <si>
    <t xml:space="preserve">COLEGIO ANTU </t>
  </si>
  <si>
    <t xml:space="preserve">Trinidad Ramirez N°750 </t>
  </si>
  <si>
    <t>Museo MUI Las Condes</t>
  </si>
  <si>
    <t>Isidora Goyenechea 3400</t>
  </si>
  <si>
    <t xml:space="preserve">ESCUELA BASICA CLARA ESTRELLA </t>
  </si>
  <si>
    <t>Valparaiso N°6990</t>
  </si>
  <si>
    <t>Museo Taller</t>
  </si>
  <si>
    <t>Compañía de Jesus 2784</t>
  </si>
  <si>
    <t xml:space="preserve">ESCUELA RAUL SAEZ SAEZ </t>
  </si>
  <si>
    <t>Veracruz N°5243</t>
  </si>
  <si>
    <t>Museo Violeta Parra</t>
  </si>
  <si>
    <t>Av. Vicuña Mackenna 37</t>
  </si>
  <si>
    <t xml:space="preserve">ESCUELA BASICA BERNARDO O´HIGGINS </t>
  </si>
  <si>
    <t>PIO XII N°7148</t>
  </si>
  <si>
    <t>Museos Mirador</t>
  </si>
  <si>
    <t xml:space="preserve">COLEGIO PARQUE LAS AMERICAS </t>
  </si>
  <si>
    <t>Avenida Lo Ovalle N°3915   </t>
  </si>
  <si>
    <t>Orquesta Sinfónica Nacional de Chile</t>
  </si>
  <si>
    <t xml:space="preserve">ESCUELA BASICA REPUBLICA DE LAS FILIPINAS </t>
  </si>
  <si>
    <t>Jupiter N°7746</t>
  </si>
  <si>
    <t>Palacio Cousiño</t>
  </si>
  <si>
    <t>Dieciocho 438</t>
  </si>
  <si>
    <t xml:space="preserve">ESCUELA B. REPUBLICA DE INDONESIA </t>
  </si>
  <si>
    <t>Gabriela Mistral N°9340</t>
  </si>
  <si>
    <t>Palacio La Moneda</t>
  </si>
  <si>
    <t>Moneda , Santiago Centro. odeado por las calles Teatinos, Moneda, Morandé y la Alameda Libertador Bernardo O'Higgins</t>
  </si>
  <si>
    <t xml:space="preserve">C.E.I.A.PEDRO AGUIRRE CERDA </t>
  </si>
  <si>
    <t xml:space="preserve">Parque André Jarlan- Parque Pierre Dubois </t>
  </si>
  <si>
    <t>Av. Salesianos 2701</t>
  </si>
  <si>
    <t xml:space="preserve">ESCUELA ESPECIAL TAMARUGAL </t>
  </si>
  <si>
    <t>La Habana N°7461</t>
  </si>
  <si>
    <t>Parque Bicentenario Cerrillo</t>
  </si>
  <si>
    <t>Av. Pedro Aguirre Cerda 6100</t>
  </si>
  <si>
    <t xml:space="preserve">ESC. BASICA MUNICIPAL RISOPATRON </t>
  </si>
  <si>
    <t>Pasaje F 4491   </t>
  </si>
  <si>
    <t>Parque Bicentenario de La Infancia</t>
  </si>
  <si>
    <t>Av. Perú 1001</t>
  </si>
  <si>
    <t>Y aparecerá el nombre del RBD</t>
  </si>
  <si>
    <t>Y indicará la vía de financiamiento</t>
  </si>
  <si>
    <t>Indicará el monto</t>
  </si>
  <si>
    <t>Parque Bicentenario Vitacura</t>
  </si>
  <si>
    <t>Av. Bicentenario 3236</t>
  </si>
  <si>
    <t>Vitacura</t>
  </si>
  <si>
    <t>Parque Brasil</t>
  </si>
  <si>
    <t>Avenida Punta Arenas 6711</t>
  </si>
  <si>
    <t>Parque de la Familia</t>
  </si>
  <si>
    <t>Costanera Sur Pte. 3201</t>
  </si>
  <si>
    <t xml:space="preserve">Parque Forestal </t>
  </si>
  <si>
    <t>Parque Huinganal</t>
  </si>
  <si>
    <t>El Rodeo 13556</t>
  </si>
  <si>
    <t>Lo Barnechea</t>
  </si>
  <si>
    <t xml:space="preserve">Parque Intercomunal La Reina </t>
  </si>
  <si>
    <t>Av. Francisco Bilbao 8105</t>
  </si>
  <si>
    <t>La Reina</t>
  </si>
  <si>
    <t>EE</t>
  </si>
  <si>
    <t>DIRECCIÓN</t>
  </si>
  <si>
    <t>Parque La Bandera, Parque MET</t>
  </si>
  <si>
    <t>Av. Ossa 1849</t>
  </si>
  <si>
    <t>San Ramon</t>
  </si>
  <si>
    <t>LICEO POLITECNICO CIENCIA Y TECNOLOGIA</t>
  </si>
  <si>
    <t>Parque Mahuida</t>
  </si>
  <si>
    <t>Av. Alcalde Fernando Castillo Velasco 11095</t>
  </si>
  <si>
    <t>COLEGIO NACIONES UNIDAS</t>
  </si>
  <si>
    <t>Parque O’Higgins, Fantasilandia</t>
  </si>
  <si>
    <t>Av. Beauchef 938</t>
  </si>
  <si>
    <t>COLEGIO PALESTINO</t>
  </si>
  <si>
    <t>Parque Quebrada de Macul</t>
  </si>
  <si>
    <t>Diagonal Las Torres pasando la Universidad Adolfo Ibáñez</t>
  </si>
  <si>
    <t>LICEO POLIVALENTE OLOF PALME</t>
  </si>
  <si>
    <t xml:space="preserve">PARQUE VIOLETA PARRA </t>
  </si>
  <si>
    <t>Pdte. Adolfo López Mateos 1501</t>
  </si>
  <si>
    <t>ESCUELA ESPERANZA JOVEN</t>
  </si>
  <si>
    <t>PLANETARIO</t>
  </si>
  <si>
    <t>Av. Alameda Libertador Bernardo O'Higgins 3349</t>
  </si>
  <si>
    <t>ESCUELA BAS. OSCAR ENCALADA YOVANOVICH</t>
  </si>
  <si>
    <t>Planetario Huechuraba</t>
  </si>
  <si>
    <t>Av. Premio Nobel N°5555</t>
  </si>
  <si>
    <t>LICEO PORTAL DE LA CISTERNA</t>
  </si>
  <si>
    <t>Plantas Aguas andinas: Sucursal La Farfana.</t>
  </si>
  <si>
    <t>Camino Casas Viejas N° 20</t>
  </si>
  <si>
    <t>Maipú</t>
  </si>
  <si>
    <t>COLEGIO ANTU</t>
  </si>
  <si>
    <t>Plantas Aguas andinas: Sucursal La Florida.</t>
  </si>
  <si>
    <t>9737, Av. Tobalaba 9271, La Florida, Región Metropolitana</t>
  </si>
  <si>
    <t>CENTRO DUC.CARDENAL JOSE MARIA CARO</t>
  </si>
  <si>
    <t>Ruca Mapuche La Pintana</t>
  </si>
  <si>
    <t>La Pintana</t>
  </si>
  <si>
    <t>LICEO POLIVALENTE LO ESPEJO</t>
  </si>
  <si>
    <t>Sitio de Memoria Ex Nido 20</t>
  </si>
  <si>
    <t>ESCUELA BASICA SALOMON SACK</t>
  </si>
  <si>
    <t>Teatro ART</t>
  </si>
  <si>
    <t>ESCUELA BLUE STAR COLLEGE</t>
  </si>
  <si>
    <t>Teatro Caupolican</t>
  </si>
  <si>
    <t>ESCUELA BASICA SANTA ADRIANA</t>
  </si>
  <si>
    <t>Teatro La Cúpula</t>
  </si>
  <si>
    <t>ESCUELA BASICA ACAPULCO</t>
  </si>
  <si>
    <t>Teatro Municipal de Santiago</t>
  </si>
  <si>
    <t>ESCUELA BASICA ALICIA ARIZTIA DE SILVA</t>
  </si>
  <si>
    <t xml:space="preserve">Teatro Nescafé de las artes </t>
  </si>
  <si>
    <t>COLEGIO HERNAN OLGUIN</t>
  </si>
  <si>
    <t>Teatro Teletón</t>
  </si>
  <si>
    <t>LICEO TENIENTE FRANCISCO MERY AGUIRRE</t>
  </si>
  <si>
    <t>TEMPLO MAIPU</t>
  </si>
  <si>
    <t>ESCUELA BASICA CLARA ESTRELLA</t>
  </si>
  <si>
    <t>Territorio Santa Rosa: lugares dentro de las comunas de La Cisterna, San Miguel, Pedro Aguirre Cerda, Lo Espejo, San Ramón. (ej. piscinas municipales, centros culturales, parques recreativos, culturales, entre otros)</t>
  </si>
  <si>
    <t>ESCUELA RAUL SAEZ SAEZ</t>
  </si>
  <si>
    <t>Villa Grimaldi</t>
  </si>
  <si>
    <t>ESCUELA BASICA BERNARDO O´HIGGINS</t>
  </si>
  <si>
    <t>Buin Zoo</t>
  </si>
  <si>
    <t>Salida tipo 2</t>
  </si>
  <si>
    <t>Buin</t>
  </si>
  <si>
    <t>ESCUELA BASICA REPÚBLICA DE LAS FILIPINAS</t>
  </si>
  <si>
    <t>Cajón del Maipo (Cuenca del Río Maipo, San José de Maipo, Tunel tinoco, Lo Valdés y vista de falla geológica, búsqueda de fósiles, termas de baños morales,Embalse el Yeso, glaciar el Morado, el manzano, el toyo, el canelo)</t>
  </si>
  <si>
    <t>San José de Maipo</t>
  </si>
  <si>
    <t>ESCUELA BÁSICA COEDUCACIONAL (ESCUELA BASICA REPÚBLICA DE INDONESIA)</t>
  </si>
  <si>
    <t>Ruta Casco Histórico de Santiago (Plaza de armas, Catedral de santiago, Iglesia san agustin, Museo Histórico Nacional, Museo Bellas Artes, Paseo bandera, Cerro santa lucia, Palacio la moneda, Palacio Cousiño)</t>
  </si>
  <si>
    <t>ESCUELA ESPECIAL DE EDUCACION TAMARUGAL</t>
  </si>
  <si>
    <t>Ruta Centro cívico de Santiago (Palacio de la Moneda, plaza la ciudadania, Ministerios, Contraloria General de la República, Delegación presidencial metropolitana, cineteca naciona y centro cultural la moneda)</t>
  </si>
  <si>
    <t>ESCUELA CONSOLIDADO DÁVILA</t>
  </si>
  <si>
    <t>Cerro Calán</t>
  </si>
  <si>
    <t>ESCUELA POETAS DE CHILE</t>
  </si>
  <si>
    <t>Cerro Carbón</t>
  </si>
  <si>
    <t>Vitacura- Huechuraba</t>
  </si>
  <si>
    <t>ESCUELA LA VICTORIA</t>
  </si>
  <si>
    <t>CERRO MANQUEHUE</t>
  </si>
  <si>
    <t>LICEO MUNICIPAL ENRIQUE BACKAUSSE</t>
  </si>
  <si>
    <t>Cerro Provincia</t>
  </si>
  <si>
    <t>ESCUELA CENTRO EDUC. REP. MEXICANA</t>
  </si>
  <si>
    <t>Empresa de Automatización Lampa</t>
  </si>
  <si>
    <t>Lampa</t>
  </si>
  <si>
    <t>ESCUELA BASICA RICARDO E. LATCHAM</t>
  </si>
  <si>
    <t>Enea Ciudad Aeropuerto</t>
  </si>
  <si>
    <t>Pudahuel</t>
  </si>
  <si>
    <t>ESCUELA DE PARVULOS RAYITO DE LUZ</t>
  </si>
  <si>
    <t>Granja Educativa de Lonquén</t>
  </si>
  <si>
    <t>Isla de Maipo</t>
  </si>
  <si>
    <t>ESCUELA BOROA</t>
  </si>
  <si>
    <t>Humedal Batuco</t>
  </si>
  <si>
    <t>LICEO POLIVALENTE EUGENIO PEREIRA SALAS</t>
  </si>
  <si>
    <t xml:space="preserve">Invernadero en Talagante, Vivero las Brujas </t>
  </si>
  <si>
    <t>Melipilla</t>
  </si>
  <si>
    <t>ESCUELA LO VALLEDOR</t>
  </si>
  <si>
    <t>Memorial Paine</t>
  </si>
  <si>
    <t>Paine</t>
  </si>
  <si>
    <t>ESCUELA CIUDAD DE BARCELONA</t>
  </si>
  <si>
    <t>Museo Histórico Militar</t>
  </si>
  <si>
    <t>ESCUELA VILLA SUR</t>
  </si>
  <si>
    <t>Parcela Melipilla</t>
  </si>
  <si>
    <t>COLEGIO PARQUE LAS AMERICAS</t>
  </si>
  <si>
    <t>Parcela Pirque</t>
  </si>
  <si>
    <t>Pirque</t>
  </si>
  <si>
    <t>C.E.I.A.PEDRO AGUIRRE CERDA</t>
  </si>
  <si>
    <t>Parque Acuático Acuapark</t>
  </si>
  <si>
    <t>Peñaflor</t>
  </si>
  <si>
    <t>ESC. BASICA MUNICIPAL RISOPATRON</t>
  </si>
  <si>
    <t>Parque Las Vizcachas, Pueblito las Vizcachas</t>
  </si>
  <si>
    <t>Puente Alto</t>
  </si>
  <si>
    <t>LICEO BETSABE HORMAZABAL DE ALARCON</t>
  </si>
  <si>
    <t>POMAIRE</t>
  </si>
  <si>
    <t>LICEO ANDRES BELLO</t>
  </si>
  <si>
    <t>Ruta Recorrido por Santiago: 1.Parque Forestal, exterior museo Bellas Artes, Escultura de Rebecca Matte. 2. Museo Histórico Nacional 3. Correo Central 4. Catedral Metropolitana 5. Casa Colorada 6. Posada del Corregedor</t>
  </si>
  <si>
    <t>ESCUELA GENERAL BASICA SANTA FE</t>
  </si>
  <si>
    <t>Reserva Aguas de Ramón</t>
  </si>
  <si>
    <t>ESCUELA TERRITORIO ANTARTICO</t>
  </si>
  <si>
    <t>Reserva Nacional Río Clarillo</t>
  </si>
  <si>
    <t>ESCUELA LLANO SUBERCASEAUX</t>
  </si>
  <si>
    <t>Templo Bahá'í de Sudamérica</t>
  </si>
  <si>
    <t>Peñalolen</t>
  </si>
  <si>
    <t>ESCUELA VILLA SAN MIGUEL</t>
  </si>
  <si>
    <t>Valle Nevado</t>
  </si>
  <si>
    <t>ESCUELA BASICA PABLO NERUDA</t>
  </si>
  <si>
    <t>Viña Undurraga</t>
  </si>
  <si>
    <t>Talagante</t>
  </si>
  <si>
    <t>ESCUELA ESPECIAL LOS CEDROS DEL LIBANO</t>
  </si>
  <si>
    <t>Vivero Los Alerces de Lonquen</t>
  </si>
  <si>
    <t>Calera de Tango</t>
  </si>
  <si>
    <t>INST. REG. EDUC ADULTOS SAN MIGUEL</t>
  </si>
  <si>
    <t>Central Termoeléctrica Quillota</t>
  </si>
  <si>
    <t>Salida tipo 3</t>
  </si>
  <si>
    <t>Quillota</t>
  </si>
  <si>
    <t>Valparaíso</t>
  </si>
  <si>
    <t>ESC. ESP. DE ADULTOS HUGO MORALES BIZAMA</t>
  </si>
  <si>
    <t>Congreso Nacional</t>
  </si>
  <si>
    <t>LICEO ARAUCANIA</t>
  </si>
  <si>
    <t>EXPERIENCE SURF Y ECOTURISMO: PLAYA LAS SALINA DE PULLAYI,PAPUDO,VALPARAISO</t>
  </si>
  <si>
    <t>Viña del Mar- Valparaíso</t>
  </si>
  <si>
    <t>ESCUELA BASICA SENDERO DEL SABER</t>
  </si>
  <si>
    <t>Humedal Rio Maipo</t>
  </si>
  <si>
    <t>San Antonio</t>
  </si>
  <si>
    <t>ESCUELA BASICA EDUCADORES DE CHILE</t>
  </si>
  <si>
    <t>Las Dunas de Con Con</t>
  </si>
  <si>
    <t>LICEO PURKUYEN</t>
  </si>
  <si>
    <t>Ruta Litoral Central (Puerto de San Antonio, Museo de Vicente Huidobro, paso por Las Cruces, museo de Isla Negra Pablo Neruda,Museo de histora natural e histórico de San Antonio, recinto costa azul )</t>
  </si>
  <si>
    <t>Isla Negra- San Antonio</t>
  </si>
  <si>
    <t>ESCUELA NANIHUE</t>
  </si>
  <si>
    <t>Museo del Automóvil</t>
  </si>
  <si>
    <t>Lolol</t>
  </si>
  <si>
    <t>Bernardo O¨Higgins</t>
  </si>
  <si>
    <t>CENTRO EDUCACIONAL MUNICIPAL SAN RAMON</t>
  </si>
  <si>
    <t>Parque Tricao</t>
  </si>
  <si>
    <t>Santo Domingo</t>
  </si>
  <si>
    <t>CENTRO EDUCACIONAL MIRADOR</t>
  </si>
  <si>
    <t>Parque Zafari</t>
  </si>
  <si>
    <t>Rancagua</t>
  </si>
  <si>
    <t>ESCUELA BASICA TUPAHUE</t>
  </si>
  <si>
    <t>Picarquin</t>
  </si>
  <si>
    <t>San Francisco de Mostazal</t>
  </si>
  <si>
    <t>ESCUELA BASICA KARELMAPU</t>
  </si>
  <si>
    <t>Pueblo Chimbarongo</t>
  </si>
  <si>
    <t>Chimbarongo</t>
  </si>
  <si>
    <t>ESCUELA BASICA VILLA LA CULTURA</t>
  </si>
  <si>
    <t>Quebrada de Córdova</t>
  </si>
  <si>
    <t>El Tabo</t>
  </si>
  <si>
    <t>ESCUELA BASICA ALIVEN</t>
  </si>
  <si>
    <t>Ruta verde Viña del Mar (Vivero municipal "el tranque" y humedal Piñacha)</t>
  </si>
  <si>
    <t>ESCUELA ESPECIAL DE ADULTOS CEIA SAN RAMÓN</t>
  </si>
  <si>
    <t>Uta Valparaíso (la Sebastiana casa Pablo Neruda, Plaza Sotomayor, Cerro Alegre. Puerto de Valparaíso, Playa Caleta Abarca,centro de Valparaíso y paseo Yugoslavo)</t>
  </si>
  <si>
    <t>Ruta Viña del Mar y Valparaíso (a Congreso, paso por plaza Sotomayor y puerto de Valparaíso, Playa Caleta Abarca, visita a museo marítimo, reloj de flores y Quinta Vergara, Playa Las Salinas)</t>
  </si>
  <si>
    <t>Columna1</t>
  </si>
  <si>
    <t>Comuna</t>
  </si>
  <si>
    <t>Región</t>
  </si>
  <si>
    <t>y se le asignará el monto</t>
  </si>
  <si>
    <t>Av. Tobalaba 9271</t>
  </si>
  <si>
    <t>Iquique 1131</t>
  </si>
  <si>
    <t>Sta. Teresa 37</t>
  </si>
  <si>
    <t>San Diego 850</t>
  </si>
  <si>
    <t>Fábrica 1503</t>
  </si>
  <si>
    <t>Agustinas 794</t>
  </si>
  <si>
    <t>Manuel Montt 032</t>
  </si>
  <si>
    <t>Mario Kreutzberger 1531</t>
  </si>
  <si>
    <t>El Carmen 1750</t>
  </si>
  <si>
    <t>recorrido</t>
  </si>
  <si>
    <t>Av. José Arrieta 8401</t>
  </si>
  <si>
    <t>Ruta 5 sur kilómetro 32 Camino longitudinal sur 01730 </t>
  </si>
  <si>
    <t>Inmaculada 170</t>
  </si>
  <si>
    <t>localizado en la precordillera en el sector de Apoquindo</t>
  </si>
  <si>
    <t>Rotonda La Pirámide, específicamente entre las comunas de Vitacura y Huechuraba</t>
  </si>
  <si>
    <t>Vía Roja 10300, Lo Curro</t>
  </si>
  <si>
    <t>Precordillera oriente de Santiago, cerca de Lo Barnechea/Las Condes.</t>
  </si>
  <si>
    <t>Av. Américo Vespucio 0100</t>
  </si>
  <si>
    <t>Cam. Las Parcelas 20</t>
  </si>
  <si>
    <t>Ruta 5 Norte → salida Batuco/ Liray</t>
  </si>
  <si>
    <t>Cam. El Oliveto 835</t>
  </si>
  <si>
    <t>Av. 18 de Septiembre 2675</t>
  </si>
  <si>
    <t>Caupolicán 3461</t>
  </si>
  <si>
    <t>Camino A San José del Maipo 05109</t>
  </si>
  <si>
    <t>Ruta 78 (autopista del sol), salida km 50 (pomaire)</t>
  </si>
  <si>
    <t>Alvaro Casanova 2583</t>
  </si>
  <si>
    <t>Av. Diag. Las Torres 2000</t>
  </si>
  <si>
    <t>Cam. Valle Nevado S/N, Farellones</t>
  </si>
  <si>
    <t>Camino Melipilla Km. 34</t>
  </si>
  <si>
    <t>Camino Lonquen Norte s/n Paradero 7 Parcela 2B</t>
  </si>
  <si>
    <t>Avenida Pedro Montt 2802</t>
  </si>
  <si>
    <t>junto a la Av. Jorge Montt (costanera) Sector norte de viña del mar, cerca del límite con Concón</t>
  </si>
  <si>
    <t>Ruta 78 (Autopista del Sol) hacia la costa, desvío hacia Santo Domingo</t>
  </si>
  <si>
    <t>Reñaca Nte./ av Borgoño</t>
  </si>
  <si>
    <t>Fundo El Peral s/n, Ex Hacienda</t>
  </si>
  <si>
    <t>Avenida Las Brisas 4, 25 km, Santo Domingo</t>
  </si>
  <si>
    <t>Camino Punta De Cortez Nº 4220 Parcela Nº38, ruta H 30, Lote B</t>
  </si>
  <si>
    <t>Casas de Peuco s/n, San Francisco de Mostazal</t>
  </si>
  <si>
    <t>Ruta 5 sur, salida Chimbarongo</t>
  </si>
  <si>
    <t>Parcela 13, Cam. Cv Sta. Luisa, El Tabo</t>
  </si>
  <si>
    <t>Ruta Valparaíso (la Sebastiana casa Pablo Neruda, Plaza Sotomayor, Cerro Alegre. Puerto de Valparaíso, Playa Caleta Abarca,centro de Valparaíso y paseo Yugoslavo)</t>
  </si>
  <si>
    <t>UTP</t>
  </si>
  <si>
    <t>569XXXXXXXXXXX</t>
  </si>
  <si>
    <t>DELEGACIÓN</t>
  </si>
  <si>
    <t>N°SALIDAS</t>
  </si>
  <si>
    <t>DESTINO</t>
  </si>
  <si>
    <t>VALOR MINI BUS 28 PASAJEROS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</si>
</sst>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164" formatCode="&quot;$&quot;#,##0;[Red]&quot;$&quot;&quot;-&quot;#,##0"/>
    <numFmt numFmtId="165" formatCode="[$-F400]h:mm:ss\ AM/PM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0"/>
      <color rgb="FFFFFFFF"/>
      <name val="Century Gothic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0"/>
      <color rgb="FF000000"/>
      <name val="Times New Roman"/>
      <family val="1"/>
    </font>
    <font>
      <sz val="10"/>
      <color rgb="FF000000"/>
      <name val="Aptos Narrow"/>
      <family val="2"/>
    </font>
    <font>
      <b/>
      <sz val="10"/>
      <color rgb="FFFFFFFF"/>
      <name val="Aptos Display"/>
      <family val="2"/>
    </font>
    <font>
      <sz val="9"/>
      <name val="Aptos Display"/>
      <family val="2"/>
    </font>
    <font>
      <sz val="11"/>
      <color rgb="FF1F1F1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5">
    <xf numFmtId="0" fontId="0" fillId="0" borderId="0"/>
    <xf numFmtId="42" fontId="1" fillId="0" borderId="0" applyFont="0" applyFill="0" applyBorder="0" applyAlignment="0" applyProtection="0"/>
    <xf numFmtId="0" fontId="2" fillId="0" borderId="0"/>
    <xf numFmtId="41" fontId="1" fillId="0" borderId="0" applyFont="0" applyFill="0" applyBorder="0" applyAlignment="0" applyProtection="0"/>
    <xf numFmtId="0" fontId="8" fillId="0" borderId="0"/>
  </cellStyleXfs>
  <cellXfs count="83">
    <xf numFmtId="0" fontId="0" fillId="0" borderId="0" xfId="0"/>
    <xf numFmtId="0" fontId="4" fillId="0" borderId="2" xfId="2" applyFont="1" applyBorder="1"/>
    <xf numFmtId="0" fontId="4" fillId="0" borderId="3" xfId="2" applyFont="1" applyBorder="1"/>
    <xf numFmtId="3" fontId="4" fillId="3" borderId="1" xfId="2" applyNumberFormat="1" applyFont="1" applyFill="1" applyBorder="1"/>
    <xf numFmtId="3" fontId="5" fillId="0" borderId="1" xfId="2" applyNumberFormat="1" applyFont="1" applyBorder="1"/>
    <xf numFmtId="0" fontId="4" fillId="4" borderId="3" xfId="2" applyFont="1" applyFill="1" applyBorder="1"/>
    <xf numFmtId="0" fontId="3" fillId="2" borderId="2" xfId="2" applyFont="1" applyFill="1" applyBorder="1"/>
    <xf numFmtId="0" fontId="3" fillId="2" borderId="4" xfId="2" applyFont="1" applyFill="1" applyBorder="1"/>
    <xf numFmtId="3" fontId="3" fillId="2" borderId="4" xfId="2" applyNumberFormat="1" applyFont="1" applyFill="1" applyBorder="1"/>
    <xf numFmtId="0" fontId="4" fillId="0" borderId="4" xfId="2" applyFont="1" applyBorder="1"/>
    <xf numFmtId="0" fontId="4" fillId="4" borderId="4" xfId="2" applyFont="1" applyFill="1" applyBorder="1"/>
    <xf numFmtId="3" fontId="5" fillId="0" borderId="5" xfId="2" applyNumberFormat="1" applyFont="1" applyBorder="1"/>
    <xf numFmtId="3" fontId="3" fillId="2" borderId="6" xfId="2" applyNumberFormat="1" applyFont="1" applyFill="1" applyBorder="1"/>
    <xf numFmtId="0" fontId="3" fillId="2" borderId="0" xfId="2" applyFont="1" applyFill="1" applyAlignment="1">
      <alignment horizontal="center"/>
    </xf>
    <xf numFmtId="0" fontId="4" fillId="0" borderId="6" xfId="2" applyFont="1" applyBorder="1"/>
    <xf numFmtId="3" fontId="5" fillId="0" borderId="7" xfId="2" applyNumberFormat="1" applyFont="1" applyBorder="1"/>
    <xf numFmtId="42" fontId="0" fillId="0" borderId="0" xfId="1" applyFont="1"/>
    <xf numFmtId="0" fontId="7" fillId="0" borderId="0" xfId="0" applyFont="1"/>
    <xf numFmtId="0" fontId="2" fillId="0" borderId="0" xfId="0" applyFont="1"/>
    <xf numFmtId="0" fontId="3" fillId="2" borderId="6" xfId="2" applyFont="1" applyFill="1" applyBorder="1"/>
    <xf numFmtId="42" fontId="0" fillId="0" borderId="0" xfId="1" applyFont="1" applyBorder="1"/>
    <xf numFmtId="0" fontId="0" fillId="0" borderId="8" xfId="0" applyBorder="1"/>
    <xf numFmtId="42" fontId="0" fillId="0" borderId="0" xfId="0" applyNumberFormat="1"/>
    <xf numFmtId="0" fontId="0" fillId="5" borderId="10" xfId="0" applyFill="1" applyBorder="1" applyAlignment="1">
      <alignment wrapText="1"/>
    </xf>
    <xf numFmtId="0" fontId="0" fillId="5" borderId="11" xfId="0" applyFill="1" applyBorder="1" applyAlignment="1">
      <alignment wrapText="1"/>
    </xf>
    <xf numFmtId="0" fontId="0" fillId="5" borderId="12" xfId="0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9" xfId="0" applyBorder="1" applyAlignment="1">
      <alignment wrapText="1"/>
    </xf>
    <xf numFmtId="164" fontId="0" fillId="0" borderId="9" xfId="0" applyNumberFormat="1" applyBorder="1"/>
    <xf numFmtId="164" fontId="0" fillId="0" borderId="14" xfId="0" applyNumberFormat="1" applyBorder="1"/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164" fontId="0" fillId="0" borderId="16" xfId="0" applyNumberFormat="1" applyBorder="1"/>
    <xf numFmtId="164" fontId="0" fillId="0" borderId="17" xfId="0" applyNumberFormat="1" applyBorder="1"/>
    <xf numFmtId="0" fontId="0" fillId="0" borderId="11" xfId="0" applyBorder="1" applyAlignment="1">
      <alignment wrapText="1"/>
    </xf>
    <xf numFmtId="0" fontId="0" fillId="5" borderId="13" xfId="0" applyFill="1" applyBorder="1" applyAlignment="1">
      <alignment wrapText="1"/>
    </xf>
    <xf numFmtId="0" fontId="0" fillId="5" borderId="9" xfId="0" applyFill="1" applyBorder="1" applyAlignment="1">
      <alignment wrapText="1"/>
    </xf>
    <xf numFmtId="164" fontId="0" fillId="5" borderId="9" xfId="0" applyNumberFormat="1" applyFill="1" applyBorder="1" applyAlignment="1">
      <alignment wrapText="1"/>
    </xf>
    <xf numFmtId="164" fontId="0" fillId="5" borderId="14" xfId="0" applyNumberFormat="1" applyFill="1" applyBorder="1" applyAlignment="1">
      <alignment wrapText="1"/>
    </xf>
    <xf numFmtId="0" fontId="0" fillId="0" borderId="0" xfId="0" applyAlignment="1">
      <alignment wrapText="1"/>
    </xf>
    <xf numFmtId="41" fontId="9" fillId="0" borderId="11" xfId="3" applyFont="1" applyBorder="1" applyAlignment="1">
      <alignment wrapText="1"/>
    </xf>
    <xf numFmtId="41" fontId="9" fillId="6" borderId="11" xfId="3" applyFont="1" applyFill="1" applyBorder="1" applyAlignment="1">
      <alignment wrapText="1"/>
    </xf>
    <xf numFmtId="6" fontId="0" fillId="0" borderId="9" xfId="0" applyNumberFormat="1" applyBorder="1" applyAlignment="1">
      <alignment wrapText="1"/>
    </xf>
    <xf numFmtId="6" fontId="0" fillId="0" borderId="16" xfId="0" applyNumberFormat="1" applyBorder="1" applyAlignment="1">
      <alignment wrapText="1"/>
    </xf>
    <xf numFmtId="165" fontId="0" fillId="0" borderId="0" xfId="0" applyNumberFormat="1"/>
    <xf numFmtId="0" fontId="10" fillId="7" borderId="18" xfId="0" applyFont="1" applyFill="1" applyBorder="1" applyAlignment="1">
      <alignment horizontal="center" vertical="center"/>
    </xf>
    <xf numFmtId="0" fontId="11" fillId="8" borderId="18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vertical="center" wrapText="1"/>
    </xf>
    <xf numFmtId="0" fontId="11" fillId="9" borderId="19" xfId="0" applyFont="1" applyFill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1" fillId="8" borderId="19" xfId="0" applyFont="1" applyFill="1" applyBorder="1" applyAlignment="1">
      <alignment vertical="center" wrapText="1"/>
    </xf>
    <xf numFmtId="0" fontId="11" fillId="8" borderId="19" xfId="0" applyFont="1" applyFill="1" applyBorder="1" applyAlignment="1">
      <alignment vertical="center"/>
    </xf>
    <xf numFmtId="0" fontId="11" fillId="0" borderId="19" xfId="0" applyFont="1" applyBorder="1" applyAlignment="1">
      <alignment vertical="center" wrapText="1"/>
    </xf>
    <xf numFmtId="0" fontId="4" fillId="0" borderId="0" xfId="2" applyFont="1"/>
    <xf numFmtId="41" fontId="9" fillId="0" borderId="1" xfId="3" applyFont="1" applyBorder="1" applyAlignment="1">
      <alignment wrapText="1"/>
    </xf>
    <xf numFmtId="3" fontId="4" fillId="3" borderId="11" xfId="2" applyNumberFormat="1" applyFont="1" applyFill="1" applyBorder="1"/>
    <xf numFmtId="41" fontId="9" fillId="6" borderId="1" xfId="3" applyFont="1" applyFill="1" applyBorder="1" applyAlignment="1">
      <alignment wrapText="1"/>
    </xf>
    <xf numFmtId="41" fontId="9" fillId="6" borderId="5" xfId="3" applyFont="1" applyFill="1" applyBorder="1" applyAlignment="1">
      <alignment wrapText="1"/>
    </xf>
    <xf numFmtId="3" fontId="5" fillId="0" borderId="11" xfId="2" applyNumberFormat="1" applyFont="1" applyBorder="1"/>
    <xf numFmtId="3" fontId="5" fillId="4" borderId="11" xfId="2" applyNumberFormat="1" applyFont="1" applyFill="1" applyBorder="1"/>
    <xf numFmtId="1" fontId="0" fillId="0" borderId="0" xfId="0" applyNumberFormat="1"/>
    <xf numFmtId="0" fontId="12" fillId="0" borderId="0" xfId="0" applyFont="1"/>
    <xf numFmtId="0" fontId="0" fillId="5" borderId="20" xfId="0" applyFill="1" applyBorder="1"/>
    <xf numFmtId="0" fontId="0" fillId="5" borderId="10" xfId="0" applyFill="1" applyBorder="1"/>
    <xf numFmtId="0" fontId="0" fillId="5" borderId="11" xfId="0" applyFill="1" applyBorder="1"/>
    <xf numFmtId="41" fontId="9" fillId="0" borderId="1" xfId="3" applyFont="1" applyBorder="1" applyAlignment="1"/>
    <xf numFmtId="0" fontId="0" fillId="5" borderId="13" xfId="0" applyFill="1" applyBorder="1"/>
    <xf numFmtId="41" fontId="9" fillId="6" borderId="5" xfId="3" applyFont="1" applyFill="1" applyBorder="1" applyAlignment="1"/>
    <xf numFmtId="0" fontId="0" fillId="0" borderId="13" xfId="0" applyBorder="1"/>
    <xf numFmtId="0" fontId="0" fillId="0" borderId="9" xfId="0" applyBorder="1"/>
    <xf numFmtId="41" fontId="9" fillId="6" borderId="11" xfId="3" applyFont="1" applyFill="1" applyBorder="1" applyAlignment="1"/>
    <xf numFmtId="41" fontId="9" fillId="0" borderId="11" xfId="3" applyFont="1" applyBorder="1" applyAlignment="1"/>
    <xf numFmtId="41" fontId="9" fillId="6" borderId="1" xfId="3" applyFont="1" applyFill="1" applyBorder="1" applyAlignment="1"/>
    <xf numFmtId="6" fontId="0" fillId="0" borderId="9" xfId="0" applyNumberFormat="1" applyBorder="1"/>
    <xf numFmtId="0" fontId="10" fillId="7" borderId="19" xfId="0" applyFont="1" applyFill="1" applyBorder="1" applyAlignment="1">
      <alignment vertical="center"/>
    </xf>
    <xf numFmtId="0" fontId="0" fillId="0" borderId="15" xfId="0" applyBorder="1"/>
    <xf numFmtId="0" fontId="0" fillId="0" borderId="16" xfId="0" applyBorder="1"/>
    <xf numFmtId="6" fontId="0" fillId="0" borderId="16" xfId="0" applyNumberFormat="1" applyBorder="1"/>
    <xf numFmtId="0" fontId="0" fillId="5" borderId="15" xfId="0" applyFill="1" applyBorder="1"/>
    <xf numFmtId="41" fontId="0" fillId="0" borderId="0" xfId="3" applyFont="1"/>
    <xf numFmtId="0" fontId="11" fillId="9" borderId="19" xfId="0" applyFont="1" applyFill="1" applyBorder="1" applyAlignment="1">
      <alignment vertical="center" wrapText="1"/>
    </xf>
  </cellXfs>
  <cellStyles count="5">
    <cellStyle name="Millares [0]" xfId="3" builtinId="6"/>
    <cellStyle name="Moneda [0]" xfId="1" builtinId="7"/>
    <cellStyle name="Normal" xfId="0" builtinId="0"/>
    <cellStyle name="Normal 2" xfId="2" xr:uid="{A6CF80A7-93C4-448F-9233-AF640BC22069}"/>
    <cellStyle name="Normal 3" xfId="4" xr:uid="{A50DB4AE-FBE4-4FE9-9F5E-C1D81A3B18F4}"/>
  </cellStyles>
  <dxfs count="81">
    <dxf>
      <numFmt numFmtId="32" formatCode="_ &quot;$&quot;* #,##0_ ;_ &quot;$&quot;* \-#,##0_ ;_ &quot;$&quot;* &quot;-&quot;_ ;_ @_ 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E1F2"/>
          <bgColor rgb="FFD9E1F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patternFill patternType="solid">
          <fgColor rgb="FFD9E1F2"/>
          <bgColor rgb="FFD9E1F2"/>
        </patternFill>
      </fill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;[Red]&quot;$&quot;&quot;-&quot;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;[Red]&quot;$&quot;&quot;-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rgb="FFD9E1F2"/>
          <bgColor rgb="FFD9E1F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" formatCode="#,##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9E1F2"/>
          <bgColor rgb="FFD9E1F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bottom style="thin">
          <color rgb="FF000000"/>
        </bottom>
      </border>
    </dxf>
    <dxf>
      <fill>
        <patternFill patternType="solid">
          <fgColor rgb="FFD9E1F2"/>
          <bgColor rgb="FFD9E1F2"/>
        </patternFill>
      </fill>
      <alignment horizontal="general" vertical="bottom"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rgb="FFD9E1F2"/>
          <bgColor rgb="FFD9E1F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" formatCode="#,##0"/>
      <alignment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FFFFFF"/>
          <bgColor rgb="FFFFFFFF"/>
        </patternFill>
      </fill>
      <alignment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32" formatCode="_ &quot;$&quot;* #,##0_ ;_ &quot;$&quot;* \-#,##0_ ;_ &quot;$&quot;* &quot;-&quot;_ ;_ @_ 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2" formatCode="_ &quot;$&quot;* #,##0_ ;_ &quot;$&quot;* \-#,##0_ ;_ &quot;$&quot;* &quot;-&quot;_ ;_ @_ "/>
    </dxf>
    <dxf>
      <numFmt numFmtId="0" formatCode="General"/>
    </dxf>
    <dxf>
      <numFmt numFmtId="1" formatCode="0"/>
    </dxf>
    <dxf>
      <numFmt numFmtId="1" formatCode="0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2249CD62-2618-4EF1-87BB-5B0DADC647EF}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F05ED0-9C28-4BEC-A892-730F445E9D54}" name="Tabla4" displayName="Tabla4" ref="A4:Q37" totalsRowCount="1" headerRowDxfId="73">
  <tableColumns count="17">
    <tableColumn id="1" xr3:uid="{3481C7E3-4BB2-4B92-A0E7-E5091822DF30}" name="RBD"/>
    <tableColumn id="2" xr3:uid="{3E4315F8-978D-4B90-BAB0-4C8D69507FCF}" name="NOMBRE ESTABLECIMIENTO" dataDxfId="72">
      <calculatedColumnFormula>VLOOKUP(Tabla4[[#This Row],[RBD]], Monto[], 2, FALSE)</calculatedColumnFormula>
    </tableColumn>
    <tableColumn id="9" xr3:uid="{98193798-DD42-4733-B945-9BED8C2510EB}" name="DIRECCIÓN EE" dataDxfId="71">
      <calculatedColumnFormula>VLOOKUP(Tabla4[[#This Row],[RBD]], Monto[], 3, FALSE)</calculatedColumnFormula>
    </tableColumn>
    <tableColumn id="3" xr3:uid="{83333AF8-28C1-452E-A314-797A00AD80B7}" name="CURSO"/>
    <tableColumn id="4" xr3:uid="{A8761C16-239D-4B4C-91C4-4DF80C352453}" name="MES DE SALIDA"/>
    <tableColumn id="12" xr3:uid="{EA2EA966-55E3-4D44-BE43-B00322001DE8}" name="FECHA  DE SALIDA"/>
    <tableColumn id="5" xr3:uid="{412EDCF6-F627-46DB-901D-45FE579FEF54}" name="NOMBRE DESTINO"/>
    <tableColumn id="11" xr3:uid="{FD7B176D-6A92-43D6-B5CE-91623F1393AC}" name="DIRECCION" dataDxfId="70">
      <calculatedColumnFormula>VLOOKUP(Tabla4[[#This Row],[NOMBRE DESTINO]], Destinos[], 2, FALSE)</calculatedColumnFormula>
    </tableColumn>
    <tableColumn id="13" xr3:uid="{F797F7EE-0A8E-4187-9020-2755263FCB70}" name="HORARIO DE RETIRO EE" dataDxfId="69"/>
    <tableColumn id="14" xr3:uid="{13D50E50-BE0B-4B58-BBAE-40588C623D10}" name="HORARIO DE DESPACHO AL EE" dataDxfId="68"/>
    <tableColumn id="15" xr3:uid="{D286AB37-173C-4DD8-B4EC-474868277100}" name="RESPONSABLE DEL ESTALECIMIENTO" dataDxfId="67"/>
    <tableColumn id="16" xr3:uid="{03AD3A1F-239F-4C1F-B9A5-F2EDDF42874C}" name="CONTACTO RESPONSABLE (+569-xxxxxxxx)" dataDxfId="66"/>
    <tableColumn id="17" xr3:uid="{C61A1CAB-1A2B-4FA9-96C7-400664FE0A0D}" name="N° DE PASAJEROS" dataDxfId="65" totalsRowDxfId="1"/>
    <tableColumn id="10" xr3:uid="{F64216B8-7EE7-4334-A58A-06F59E7A9BB6}" name="TIPO BUS"/>
    <tableColumn id="19" xr3:uid="{3373BA11-EEC5-4997-99FB-3BC0E33BF877}" name="CANTIDAD DE TIPO DE BUS"/>
    <tableColumn id="7" xr3:uid="{E7AFC814-2008-4359-8E5B-B50F43058952}" name="VALOR APROX TRANSPORTE" dataDxfId="64">
      <calculatedColumnFormula>SUMIFS(Destinos7[Monto],Destinos7[Columna2],Tabla4[[#This Row],[TIPO BUS]],Destinos7[Destino],Tabla4[[#This Row],[NOMBRE DESTINO]])</calculatedColumnFormula>
    </tableColumn>
    <tableColumn id="8" xr3:uid="{13D2B755-95E5-44D5-AF74-88E46B487456}" name="TOTAL" totalsRowFunction="custom" dataDxfId="63" totalsRowDxfId="0" dataCellStyle="Moneda [0]">
      <calculatedColumnFormula>Tabla4[[#This Row],[CANTIDAD DE TIPO DE BUS]]*Tabla4[[#This Row],[VALOR APROX TRANSPORTE]]</calculatedColumnFormula>
      <totalsRowFormula>SUM(Tabla4[TOTAL])</totalsRow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A5407BA-B175-474A-A157-75495ED89198}" name="Tabla11" displayName="Tabla11" ref="B1:D2" totalsRowShown="0">
  <tableColumns count="3">
    <tableColumn id="1" xr3:uid="{57D15070-D89A-4C88-AF56-DA556A57B749}" name="Via financiamiento">
      <calculatedColumnFormula>VLOOKUP(A5, Monto[], 4, FALSE)</calculatedColumnFormula>
    </tableColumn>
    <tableColumn id="2" xr3:uid="{7F6FBA18-B7AC-4564-A76E-550C34703E2B}" name="Monto asignado" dataDxfId="62" dataCellStyle="Moneda [0]">
      <calculatedColumnFormula>VLOOKUP(A5, Monto[], 5, FALSE)</calculatedColumnFormula>
    </tableColumn>
    <tableColumn id="3" xr3:uid="{3875FE04-BFD3-489A-A373-84534FE756B4}" name="Monto disponible" dataDxfId="61">
      <calculatedColumnFormula>C2-Tabla4[[#Totals],[TOTAL]]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BD29D-547D-4E2A-88B0-2C4DE39BA399}" name="Monto" displayName="Monto" ref="A1:F62" totalsRowShown="0" tableBorderDxfId="29">
  <autoFilter ref="A1:F62" xr:uid="{DFEBD29D-547D-4E2A-88B0-2C4DE39BA399}"/>
  <tableColumns count="6">
    <tableColumn id="1" xr3:uid="{565CFA0E-01CE-45C6-ABF8-441F9E706B10}" name="RBD" dataDxfId="28" dataCellStyle="Normal 2"/>
    <tableColumn id="2" xr3:uid="{03851BC1-16A6-4282-994C-9389BB1F9266}" name="EE/JJII" dataDxfId="27" dataCellStyle="Normal 2"/>
    <tableColumn id="6" xr3:uid="{AD0DB863-04F9-4835-8DAA-2774C1CE4D9B}" name="DIRECCIOÓN EE" dataDxfId="26" dataCellStyle="Normal 2"/>
    <tableColumn id="5" xr3:uid="{3F24C025-F430-49B1-9C11-852B15E87937}" name="Financiamiento" dataDxfId="25" dataCellStyle="Normal 2"/>
    <tableColumn id="3" xr3:uid="{4A3F4A1F-B974-4AF1-9324-1AD113229ECB}" name="Monto sep" dataDxfId="24" dataCellStyle="Normal 2"/>
    <tableColumn id="4" xr3:uid="{3F9455A0-93DA-457A-9230-C8D35E595667}" name="monto FAEP" dataDxfId="23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77AA59-DE6E-4F46-965E-8967FFE9D8CF}" name="Tabla7" displayName="Tabla7" ref="H1:H13" totalsRowShown="0">
  <autoFilter ref="H1:H13" xr:uid="{5777AA59-DE6E-4F46-965E-8967FFE9D8CF}"/>
  <tableColumns count="1">
    <tableColumn id="1" xr3:uid="{C4ACA20F-CB17-4758-AC94-7F7E9FC6185E}" name="M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E319798-7FA7-4DB0-85DA-B3A809D9D5E0}" name="Curso" displayName="Curso" ref="J1:J26" totalsRowShown="0" headerRowDxfId="22" dataDxfId="21">
  <autoFilter ref="J1:J26" xr:uid="{5E319798-7FA7-4DB0-85DA-B3A809D9D5E0}"/>
  <tableColumns count="1">
    <tableColumn id="1" xr3:uid="{A2F52A7F-583A-418D-89E7-C03C448E5D54}" name="Curso" dataDxfId="2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1AC4F1E-5BFF-4086-9996-DC65F8136CCD}" name="Destinos" displayName="Destinos" ref="M1:U130" totalsRowShown="0" headerRowDxfId="19" dataDxfId="17" headerRowBorderDxfId="18" tableBorderDxfId="16" totalsRowBorderDxfId="15">
  <autoFilter ref="M1:U130" xr:uid="{E1AC4F1E-5BFF-4086-9996-DC65F8136CCD}"/>
  <tableColumns count="9">
    <tableColumn id="1" xr3:uid="{374E0153-8C48-4F1B-B209-B427DD72E98C}" name="Destino" dataDxfId="14"/>
    <tableColumn id="8" xr3:uid="{5CE503E5-9370-4029-BFB0-8A26410546B5}" name="DIRECCION" dataDxfId="13"/>
    <tableColumn id="2" xr3:uid="{D266B86A-AC1C-46A1-B54D-EE7ED723B817}" name="TIPO DE SALIDA2" dataDxfId="12"/>
    <tableColumn id="3" xr3:uid="{6E909745-7B5B-47C8-9279-3E691C785E9F}" name="COMUNA" dataDxfId="11"/>
    <tableColumn id="4" xr3:uid="{2CBAC740-6B9F-4227-8554-FB29E83EDAB2}" name="REGIÓN" dataDxfId="10"/>
    <tableColumn id="9" xr3:uid="{87170377-6A84-4626-8DA4-51420C223957}" name="VALOR MINI VAN 10 PASAJEROS" dataDxfId="9"/>
    <tableColumn id="5" xr3:uid="{C1BBFFDC-6053-4E4A-A4F4-8930ADF1AD74}" name="VALOR MINI BUS 30 PASAJEROS" dataDxfId="8"/>
    <tableColumn id="6" xr3:uid="{274441BB-DA67-49E4-8712-E04DCC6F5AEC}" name="VALOR BUS BUS TURISMO 42 PASAJEROS" dataDxfId="7"/>
    <tableColumn id="7" xr3:uid="{EF16A2B7-91FE-43AB-B56D-E8FFDF2EBED6}" name="Columna1" dataDxfId="6">
      <calculatedColumnFormula>EXACT(Destinos[[#This Row],[VALOR MINI BUS 30 PASAJEROS]],Destinos[[#This Row],[VALOR BUS BUS TURISMO 42 PASAJEROS]])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DB9A6F3-46EF-4E14-B319-D32E54DE26B0}" name="Tabla13" displayName="Tabla13" ref="W1:W4" totalsRowShown="0" dataDxfId="5" tableBorderDxfId="4">
  <autoFilter ref="W1:W4" xr:uid="{ADB9A6F3-46EF-4E14-B319-D32E54DE26B0}"/>
  <tableColumns count="1">
    <tableColumn id="1" xr3:uid="{1AAE3A36-1194-476B-8122-2D87F502F99C}" name="TIPO BUS" dataDxfId="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562A1F-E97A-4652-89F3-B31FF69E7B83}" name="Monto3" displayName="Monto3" ref="A1:F62" totalsRowShown="0" headerRowDxfId="60" dataDxfId="59" tableBorderDxfId="58">
  <autoFilter ref="A1:F62" xr:uid="{DFEBD29D-547D-4E2A-88B0-2C4DE39BA399}"/>
  <tableColumns count="6">
    <tableColumn id="1" xr3:uid="{E62C7C13-004E-4009-BEDA-540C8AC63889}" name="RBD" dataDxfId="57" dataCellStyle="Normal 2"/>
    <tableColumn id="2" xr3:uid="{AFA87B95-E0D6-4F98-BC57-209A95FD03AB}" name="EE/JJII" dataDxfId="56" dataCellStyle="Normal 2"/>
    <tableColumn id="6" xr3:uid="{D9D4C84D-F902-46CD-A63B-E1D05F1410B2}" name="DIRECCIOÓN EE" dataDxfId="55" dataCellStyle="Normal 2"/>
    <tableColumn id="5" xr3:uid="{522093A4-31B9-40E0-898A-333F8192ACA7}" name="Financiamiento" dataDxfId="54" dataCellStyle="Normal 2"/>
    <tableColumn id="3" xr3:uid="{9EEB0E88-4FC2-4AD6-AECB-DBE61366473B}" name="Monto sep" dataDxfId="53" dataCellStyle="Normal 2"/>
    <tableColumn id="4" xr3:uid="{01B7914F-F4DA-44AF-B90D-C3981C543C99}" name="monto FAEP" dataDxfId="52" dataCellStyle="Normal 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8F382A-3F21-4E06-85D1-169C8E1ACD0D}" name="Tabla74" displayName="Tabla74" ref="H1:H13" totalsRowShown="0" headerRowDxfId="51" dataDxfId="50">
  <autoFilter ref="H1:H13" xr:uid="{5777AA59-DE6E-4F46-965E-8967FFE9D8CF}"/>
  <tableColumns count="1">
    <tableColumn id="1" xr3:uid="{4BF5F209-B726-476A-B47E-7CF5F3313800}" name="Mes" dataDxfId="49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3C9008-B9BD-4140-B964-D6024766F64D}" name="Curso6" displayName="Curso6" ref="J1:J25" totalsRowShown="0" headerRowDxfId="48" dataDxfId="47">
  <autoFilter ref="J1:J25" xr:uid="{5E319798-7FA7-4DB0-85DA-B3A809D9D5E0}"/>
  <tableColumns count="1">
    <tableColumn id="1" xr3:uid="{8787AA1B-ABC8-4F37-A688-F3ADDF0EFC75}" name="Curso" dataDxfId="46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F30AF9-FDEB-4E09-9220-23EFB7C4D698}" name="Destinos7" displayName="Destinos7" ref="M1:S385" totalsRowShown="0" headerRowDxfId="45" dataDxfId="43" headerRowBorderDxfId="44" tableBorderDxfId="42" totalsRowBorderDxfId="41">
  <autoFilter ref="M1:S385" xr:uid="{E1AC4F1E-5BFF-4086-9996-DC65F8136CCD}"/>
  <tableColumns count="7">
    <tableColumn id="10" xr3:uid="{D1C3C5E8-C971-4B0A-BFFD-80DECD443D4C}" name="Columna2" dataDxfId="40"/>
    <tableColumn id="1" xr3:uid="{78BE1EA7-339F-4618-84CA-328AE3E54B47}" name="Destino" dataDxfId="39"/>
    <tableColumn id="8" xr3:uid="{A36986F5-D207-4910-8D72-3708DF9C00B6}" name="DIRECCION" dataDxfId="38"/>
    <tableColumn id="2" xr3:uid="{758A1943-0D1C-488B-98B8-76981A1B06AF}" name="TIPO DE SALIDA2" dataDxfId="37"/>
    <tableColumn id="3" xr3:uid="{3CBE734E-577F-43C0-821D-986CB919AB8F}" name="COMUNA" dataDxfId="36"/>
    <tableColumn id="4" xr3:uid="{CD3B925B-0DDA-46A3-80C7-B2C28E59B504}" name="REGIÓN" dataDxfId="35"/>
    <tableColumn id="9" xr3:uid="{5D740CE7-3F00-45FF-9163-CBCDD6D411C6}" name="Monto" dataDxfId="34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6416EA2-9FAF-42AD-B5FC-B22018421EAE}" name="Tabla139" displayName="Tabla139" ref="W1:W4" totalsRowShown="0" headerRowDxfId="33" dataDxfId="32" tableBorderDxfId="31">
  <autoFilter ref="W1:W4" xr:uid="{ADB9A6F3-46EF-4E14-B319-D32E54DE26B0}"/>
  <tableColumns count="1">
    <tableColumn id="1" xr3:uid="{C82188FD-1A56-494D-8EC6-4D36EDC8C2FD}" name="TIPO BUS" dataDxfId="3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99B2-66C0-4A3F-A4B5-06B745E3CD69}">
  <dimension ref="A1:S37"/>
  <sheetViews>
    <sheetView tabSelected="1" topLeftCell="G1" zoomScale="89" zoomScaleNormal="89" workbookViewId="0">
      <selection activeCell="S7" sqref="S7"/>
    </sheetView>
  </sheetViews>
  <sheetFormatPr baseColWidth="10" defaultColWidth="11.42578125" defaultRowHeight="15" x14ac:dyDescent="0.25"/>
  <cols>
    <col min="2" max="2" width="39.140625" customWidth="1"/>
    <col min="3" max="3" width="35.5703125" customWidth="1"/>
    <col min="4" max="4" width="15.42578125" customWidth="1"/>
    <col min="5" max="5" width="15.5703125" customWidth="1"/>
    <col min="6" max="6" width="15" customWidth="1"/>
    <col min="7" max="7" width="54.85546875" customWidth="1"/>
    <col min="8" max="8" width="49.5703125" customWidth="1"/>
    <col min="9" max="9" width="13.85546875" customWidth="1"/>
    <col min="10" max="10" width="16.5703125" customWidth="1"/>
    <col min="11" max="11" width="19" customWidth="1"/>
    <col min="12" max="13" width="18.7109375" customWidth="1"/>
    <col min="14" max="14" width="45.140625" customWidth="1"/>
    <col min="15" max="15" width="14.42578125" customWidth="1"/>
    <col min="16" max="16" width="15.7109375" customWidth="1"/>
    <col min="17" max="17" width="14" customWidth="1"/>
    <col min="18" max="19" width="11.42578125" customWidth="1"/>
    <col min="20" max="20" width="18.140625" customWidth="1"/>
    <col min="21" max="21" width="15.85546875" customWidth="1"/>
    <col min="22" max="22" width="16.85546875" customWidth="1"/>
  </cols>
  <sheetData>
    <row r="1" spans="1:19" x14ac:dyDescent="0.25">
      <c r="B1" t="s">
        <v>0</v>
      </c>
      <c r="C1" t="s">
        <v>1</v>
      </c>
      <c r="D1" s="21" t="s">
        <v>2</v>
      </c>
    </row>
    <row r="2" spans="1:19" x14ac:dyDescent="0.25">
      <c r="B2" t="str">
        <f>VLOOKUP(A5, Monto[], 4, FALSE)</f>
        <v>FAEP</v>
      </c>
      <c r="C2" s="20">
        <f>VLOOKUP(A5, Monto[], 5, FALSE)</f>
        <v>1100000</v>
      </c>
      <c r="D2" s="22">
        <f>C2-Tabla4[[#Totals],[TOTAL]]</f>
        <v>955500</v>
      </c>
    </row>
    <row r="4" spans="1:19" ht="45" x14ac:dyDescent="0.25">
      <c r="A4" s="39" t="s">
        <v>3</v>
      </c>
      <c r="B4" s="39" t="s">
        <v>4</v>
      </c>
      <c r="C4" s="39" t="s">
        <v>5</v>
      </c>
      <c r="D4" s="39" t="s">
        <v>6</v>
      </c>
      <c r="E4" s="39" t="s">
        <v>7</v>
      </c>
      <c r="F4" s="39" t="s">
        <v>8</v>
      </c>
      <c r="G4" s="39" t="s">
        <v>9</v>
      </c>
      <c r="H4" s="39" t="s">
        <v>10</v>
      </c>
      <c r="I4" s="39" t="s">
        <v>11</v>
      </c>
      <c r="J4" s="39" t="s">
        <v>12</v>
      </c>
      <c r="K4" s="39" t="s">
        <v>13</v>
      </c>
      <c r="L4" s="39" t="s">
        <v>14</v>
      </c>
      <c r="M4" s="39" t="s">
        <v>15</v>
      </c>
      <c r="N4" s="39" t="s">
        <v>16</v>
      </c>
      <c r="O4" s="39" t="s">
        <v>17</v>
      </c>
      <c r="P4" s="39" t="s">
        <v>18</v>
      </c>
      <c r="Q4" s="39" t="s">
        <v>19</v>
      </c>
      <c r="R4" s="39"/>
    </row>
    <row r="5" spans="1:19" x14ac:dyDescent="0.25">
      <c r="A5">
        <v>9460</v>
      </c>
      <c r="B5" t="str">
        <f>VLOOKUP(Tabla4[[#This Row],[RBD]], Monto[], 2, FALSE)</f>
        <v xml:space="preserve">INST. REG. EDUC ADULTOS SAN MIGUEL </v>
      </c>
      <c r="C5" t="str">
        <f>VLOOKUP(Tabla4[[#This Row],[RBD]], Monto[], 3, FALSE)</f>
        <v>San Ignacio N°4010</v>
      </c>
      <c r="D5" t="s">
        <v>561</v>
      </c>
      <c r="E5" t="s">
        <v>59</v>
      </c>
      <c r="F5">
        <v>12</v>
      </c>
      <c r="G5" t="s">
        <v>124</v>
      </c>
      <c r="H5" t="str">
        <f>VLOOKUP(Tabla4[[#This Row],[NOMBRE DESTINO]], Destinos[], 2, FALSE)</f>
        <v>Pío Nono 450</v>
      </c>
      <c r="I5" s="44">
        <v>0.58333333333333337</v>
      </c>
      <c r="J5" s="44">
        <v>0.875</v>
      </c>
      <c r="K5" s="44" t="s">
        <v>559</v>
      </c>
      <c r="L5" s="62" t="s">
        <v>560</v>
      </c>
      <c r="M5" s="62">
        <v>10</v>
      </c>
      <c r="N5" t="s">
        <v>22</v>
      </c>
      <c r="O5">
        <v>1</v>
      </c>
      <c r="P5" s="81">
        <f>SUMIFS(Destinos7[Monto],Destinos7[Columna2],Tabla4[[#This Row],[TIPO BUS]],Destinos7[Destino],Tabla4[[#This Row],[NOMBRE DESTINO]])</f>
        <v>144500</v>
      </c>
      <c r="Q5" s="16">
        <f>Tabla4[[#This Row],[CANTIDAD DE TIPO DE BUS]]*Tabla4[[#This Row],[VALOR APROX TRANSPORTE]]</f>
        <v>144500</v>
      </c>
      <c r="R5" s="16"/>
      <c r="S5" s="16"/>
    </row>
    <row r="6" spans="1:19" x14ac:dyDescent="0.25">
      <c r="A6" t="s">
        <v>23</v>
      </c>
      <c r="B6" t="str">
        <f>VLOOKUP(Tabla4[[#This Row],[RBD]], Monto[], 2, FALSE)</f>
        <v>Y aparecerá el nombre del RBD</v>
      </c>
      <c r="C6">
        <f>VLOOKUP(Tabla4[[#This Row],[RBD]], Monto[], 3, FALSE)</f>
        <v>0</v>
      </c>
      <c r="G6" t="s">
        <v>27</v>
      </c>
      <c r="H6">
        <f>VLOOKUP(Tabla4[[#This Row],[NOMBRE DESTINO]], Destinos[], 2, FALSE)</f>
        <v>0</v>
      </c>
      <c r="I6" s="44"/>
      <c r="J6" s="44"/>
      <c r="K6" s="44"/>
      <c r="L6" s="62"/>
      <c r="M6" s="62"/>
      <c r="P6" s="81">
        <f>SUMIFS(Destinos7[Monto],Destinos7[Columna2],Tabla4[[#This Row],[TIPO BUS]],Destinos7[Destino],Tabla4[[#This Row],[NOMBRE DESTINO]])</f>
        <v>0</v>
      </c>
      <c r="Q6" s="16">
        <f>Tabla4[[#This Row],[CANTIDAD DE TIPO DE BUS]]*Tabla4[[#This Row],[VALOR APROX TRANSPORTE]]</f>
        <v>0</v>
      </c>
      <c r="R6" s="16"/>
      <c r="S6" s="16"/>
    </row>
    <row r="7" spans="1:19" x14ac:dyDescent="0.25">
      <c r="A7" t="s">
        <v>23</v>
      </c>
      <c r="B7" t="str">
        <f>VLOOKUP(Tabla4[[#This Row],[RBD]], Monto[], 2, FALSE)</f>
        <v>Y aparecerá el nombre del RBD</v>
      </c>
      <c r="C7">
        <f>VLOOKUP(Tabla4[[#This Row],[RBD]], Monto[], 3, FALSE)</f>
        <v>0</v>
      </c>
      <c r="G7" t="s">
        <v>27</v>
      </c>
      <c r="H7">
        <f>VLOOKUP(Tabla4[[#This Row],[NOMBRE DESTINO]], Destinos[], 2, FALSE)</f>
        <v>0</v>
      </c>
      <c r="I7" s="44"/>
      <c r="J7" s="44"/>
      <c r="K7" s="44"/>
      <c r="L7" s="62"/>
      <c r="M7" s="62"/>
      <c r="P7" s="81">
        <f>SUMIFS(Destinos7[Monto],Destinos7[Columna2],Tabla4[[#This Row],[TIPO BUS]],Destinos7[Destino],Tabla4[[#This Row],[NOMBRE DESTINO]])</f>
        <v>0</v>
      </c>
      <c r="Q7" s="16">
        <f>Tabla4[[#This Row],[CANTIDAD DE TIPO DE BUS]]*Tabla4[[#This Row],[VALOR APROX TRANSPORTE]]</f>
        <v>0</v>
      </c>
      <c r="R7" s="16"/>
      <c r="S7" s="16"/>
    </row>
    <row r="8" spans="1:19" x14ac:dyDescent="0.25">
      <c r="A8" t="s">
        <v>23</v>
      </c>
      <c r="B8" t="str">
        <f>VLOOKUP(Tabla4[[#This Row],[RBD]], Monto[], 2, FALSE)</f>
        <v>Y aparecerá el nombre del RBD</v>
      </c>
      <c r="C8">
        <f>VLOOKUP(Tabla4[[#This Row],[RBD]], Monto[], 3, FALSE)</f>
        <v>0</v>
      </c>
      <c r="G8" t="s">
        <v>27</v>
      </c>
      <c r="H8">
        <f>VLOOKUP(Tabla4[[#This Row],[NOMBRE DESTINO]], Destinos[], 2, FALSE)</f>
        <v>0</v>
      </c>
      <c r="I8" s="44"/>
      <c r="J8" s="44"/>
      <c r="K8" s="44"/>
      <c r="L8" s="62"/>
      <c r="M8" s="62"/>
      <c r="P8" s="81">
        <f>SUMIFS(Destinos7[Monto],Destinos7[Columna2],Tabla4[[#This Row],[TIPO BUS]],Destinos7[Destino],Tabla4[[#This Row],[NOMBRE DESTINO]])</f>
        <v>0</v>
      </c>
      <c r="Q8" s="16">
        <f>Tabla4[[#This Row],[CANTIDAD DE TIPO DE BUS]]*Tabla4[[#This Row],[VALOR APROX TRANSPORTE]]</f>
        <v>0</v>
      </c>
      <c r="R8" s="16"/>
      <c r="S8" s="16"/>
    </row>
    <row r="9" spans="1:19" x14ac:dyDescent="0.25">
      <c r="A9" t="s">
        <v>23</v>
      </c>
      <c r="B9" t="str">
        <f>VLOOKUP(Tabla4[[#This Row],[RBD]], Monto[], 2, FALSE)</f>
        <v>Y aparecerá el nombre del RBD</v>
      </c>
      <c r="C9">
        <f>VLOOKUP(Tabla4[[#This Row],[RBD]], Monto[], 3, FALSE)</f>
        <v>0</v>
      </c>
      <c r="G9" t="s">
        <v>27</v>
      </c>
      <c r="H9">
        <f>VLOOKUP(Tabla4[[#This Row],[NOMBRE DESTINO]], Destinos[], 2, FALSE)</f>
        <v>0</v>
      </c>
      <c r="I9" s="44"/>
      <c r="J9" s="44"/>
      <c r="K9" s="44"/>
      <c r="L9" s="62"/>
      <c r="M9" s="62"/>
      <c r="P9" s="81">
        <f>SUMIFS(Destinos7[Monto],Destinos7[Columna2],Tabla4[[#This Row],[TIPO BUS]],Destinos7[Destino],Tabla4[[#This Row],[NOMBRE DESTINO]])</f>
        <v>0</v>
      </c>
      <c r="Q9" s="16">
        <f>Tabla4[[#This Row],[CANTIDAD DE TIPO DE BUS]]*Tabla4[[#This Row],[VALOR APROX TRANSPORTE]]</f>
        <v>0</v>
      </c>
      <c r="R9" s="16"/>
      <c r="S9" s="16"/>
    </row>
    <row r="10" spans="1:19" x14ac:dyDescent="0.25">
      <c r="A10" t="s">
        <v>23</v>
      </c>
      <c r="B10" t="str">
        <f>VLOOKUP(Tabla4[[#This Row],[RBD]], Monto[], 2, FALSE)</f>
        <v>Y aparecerá el nombre del RBD</v>
      </c>
      <c r="C10">
        <f>VLOOKUP(Tabla4[[#This Row],[RBD]], Monto[], 3, FALSE)</f>
        <v>0</v>
      </c>
      <c r="G10" t="s">
        <v>27</v>
      </c>
      <c r="H10">
        <f>VLOOKUP(Tabla4[[#This Row],[NOMBRE DESTINO]], Destinos[], 2, FALSE)</f>
        <v>0</v>
      </c>
      <c r="I10" s="44"/>
      <c r="J10" s="44"/>
      <c r="K10" s="44"/>
      <c r="L10" s="62"/>
      <c r="M10" s="62"/>
      <c r="P10" s="81">
        <f>SUMIFS(Destinos7[Monto],Destinos7[Columna2],Tabla4[[#This Row],[TIPO BUS]],Destinos7[Destino],Tabla4[[#This Row],[NOMBRE DESTINO]])</f>
        <v>0</v>
      </c>
      <c r="Q10" s="16">
        <f>Tabla4[[#This Row],[CANTIDAD DE TIPO DE BUS]]*Tabla4[[#This Row],[VALOR APROX TRANSPORTE]]</f>
        <v>0</v>
      </c>
      <c r="R10" s="16"/>
      <c r="S10" s="16"/>
    </row>
    <row r="11" spans="1:19" x14ac:dyDescent="0.25">
      <c r="A11" t="s">
        <v>23</v>
      </c>
      <c r="B11" t="str">
        <f>VLOOKUP(Tabla4[[#This Row],[RBD]], Monto[], 2, FALSE)</f>
        <v>Y aparecerá el nombre del RBD</v>
      </c>
      <c r="C11">
        <f>VLOOKUP(Tabla4[[#This Row],[RBD]], Monto[], 3, FALSE)</f>
        <v>0</v>
      </c>
      <c r="G11" t="s">
        <v>27</v>
      </c>
      <c r="H11">
        <f>VLOOKUP(Tabla4[[#This Row],[NOMBRE DESTINO]], Destinos[], 2, FALSE)</f>
        <v>0</v>
      </c>
      <c r="I11" s="44"/>
      <c r="J11" s="44"/>
      <c r="K11" s="44"/>
      <c r="L11" s="62"/>
      <c r="M11" s="62"/>
      <c r="P11" s="81">
        <f>SUMIFS(Destinos7[Monto],Destinos7[Columna2],Tabla4[[#This Row],[TIPO BUS]],Destinos7[Destino],Tabla4[[#This Row],[NOMBRE DESTINO]])</f>
        <v>0</v>
      </c>
      <c r="Q11" s="16">
        <f>Tabla4[[#This Row],[CANTIDAD DE TIPO DE BUS]]*Tabla4[[#This Row],[VALOR APROX TRANSPORTE]]</f>
        <v>0</v>
      </c>
      <c r="R11" s="16"/>
      <c r="S11" s="16"/>
    </row>
    <row r="12" spans="1:19" x14ac:dyDescent="0.25">
      <c r="A12" t="s">
        <v>23</v>
      </c>
      <c r="B12" t="str">
        <f>VLOOKUP(Tabla4[[#This Row],[RBD]], Monto[], 2, FALSE)</f>
        <v>Y aparecerá el nombre del RBD</v>
      </c>
      <c r="C12">
        <f>VLOOKUP(Tabla4[[#This Row],[RBD]], Monto[], 3, FALSE)</f>
        <v>0</v>
      </c>
      <c r="G12" t="s">
        <v>27</v>
      </c>
      <c r="H12">
        <f>VLOOKUP(Tabla4[[#This Row],[NOMBRE DESTINO]], Destinos[], 2, FALSE)</f>
        <v>0</v>
      </c>
      <c r="I12" s="44"/>
      <c r="J12" s="44"/>
      <c r="K12" s="44"/>
      <c r="L12" s="62"/>
      <c r="M12" s="62"/>
      <c r="P12" s="81">
        <f>SUMIFS(Destinos7[Monto],Destinos7[Columna2],Tabla4[[#This Row],[TIPO BUS]],Destinos7[Destino],Tabla4[[#This Row],[NOMBRE DESTINO]])</f>
        <v>0</v>
      </c>
      <c r="Q12" s="16">
        <f>Tabla4[[#This Row],[CANTIDAD DE TIPO DE BUS]]*Tabla4[[#This Row],[VALOR APROX TRANSPORTE]]</f>
        <v>0</v>
      </c>
      <c r="R12" s="16"/>
      <c r="S12" s="16"/>
    </row>
    <row r="13" spans="1:19" x14ac:dyDescent="0.25">
      <c r="A13" t="s">
        <v>23</v>
      </c>
      <c r="B13" t="str">
        <f>VLOOKUP(Tabla4[[#This Row],[RBD]], Monto[], 2, FALSE)</f>
        <v>Y aparecerá el nombre del RBD</v>
      </c>
      <c r="C13">
        <f>VLOOKUP(Tabla4[[#This Row],[RBD]], Monto[], 3, FALSE)</f>
        <v>0</v>
      </c>
      <c r="G13" t="s">
        <v>27</v>
      </c>
      <c r="H13">
        <f>VLOOKUP(Tabla4[[#This Row],[NOMBRE DESTINO]], Destinos[], 2, FALSE)</f>
        <v>0</v>
      </c>
      <c r="I13" s="44"/>
      <c r="J13" s="44"/>
      <c r="K13" s="44"/>
      <c r="L13" s="62"/>
      <c r="M13" s="62"/>
      <c r="P13" s="81">
        <f>SUMIFS(Destinos7[Monto],Destinos7[Columna2],Tabla4[[#This Row],[TIPO BUS]],Destinos7[Destino],Tabla4[[#This Row],[NOMBRE DESTINO]])</f>
        <v>0</v>
      </c>
      <c r="Q13" s="16">
        <f>Tabla4[[#This Row],[CANTIDAD DE TIPO DE BUS]]*Tabla4[[#This Row],[VALOR APROX TRANSPORTE]]</f>
        <v>0</v>
      </c>
      <c r="R13" s="16"/>
      <c r="S13" s="16"/>
    </row>
    <row r="14" spans="1:19" x14ac:dyDescent="0.25">
      <c r="A14" t="s">
        <v>23</v>
      </c>
      <c r="B14" t="str">
        <f>VLOOKUP(Tabla4[[#This Row],[RBD]], Monto[], 2, FALSE)</f>
        <v>Y aparecerá el nombre del RBD</v>
      </c>
      <c r="C14">
        <f>VLOOKUP(Tabla4[[#This Row],[RBD]], Monto[], 3, FALSE)</f>
        <v>0</v>
      </c>
      <c r="G14" t="s">
        <v>27</v>
      </c>
      <c r="H14">
        <f>VLOOKUP(Tabla4[[#This Row],[NOMBRE DESTINO]], Destinos[], 2, FALSE)</f>
        <v>0</v>
      </c>
      <c r="I14" s="44"/>
      <c r="J14" s="44"/>
      <c r="K14" s="44"/>
      <c r="L14" s="62"/>
      <c r="M14" s="62"/>
      <c r="P14" s="81">
        <f>SUMIFS(Destinos7[Monto],Destinos7[Columna2],Tabla4[[#This Row],[TIPO BUS]],Destinos7[Destino],Tabla4[[#This Row],[NOMBRE DESTINO]])</f>
        <v>0</v>
      </c>
      <c r="Q14" s="16">
        <f>Tabla4[[#This Row],[CANTIDAD DE TIPO DE BUS]]*Tabla4[[#This Row],[VALOR APROX TRANSPORTE]]</f>
        <v>0</v>
      </c>
      <c r="R14" s="16"/>
      <c r="S14" s="16"/>
    </row>
    <row r="15" spans="1:19" x14ac:dyDescent="0.25">
      <c r="A15" t="s">
        <v>23</v>
      </c>
      <c r="B15" t="str">
        <f>VLOOKUP(Tabla4[[#This Row],[RBD]], Monto[], 2, FALSE)</f>
        <v>Y aparecerá el nombre del RBD</v>
      </c>
      <c r="C15">
        <f>VLOOKUP(Tabla4[[#This Row],[RBD]], Monto[], 3, FALSE)</f>
        <v>0</v>
      </c>
      <c r="G15" t="s">
        <v>27</v>
      </c>
      <c r="H15">
        <f>VLOOKUP(Tabla4[[#This Row],[NOMBRE DESTINO]], Destinos[], 2, FALSE)</f>
        <v>0</v>
      </c>
      <c r="I15" s="44"/>
      <c r="J15" s="44"/>
      <c r="K15" s="44"/>
      <c r="L15" s="62"/>
      <c r="M15" s="62"/>
      <c r="P15" s="81">
        <f>SUMIFS(Destinos7[Monto],Destinos7[Columna2],Tabla4[[#This Row],[TIPO BUS]],Destinos7[Destino],Tabla4[[#This Row],[NOMBRE DESTINO]])</f>
        <v>0</v>
      </c>
      <c r="Q15" s="16">
        <f>Tabla4[[#This Row],[CANTIDAD DE TIPO DE BUS]]*Tabla4[[#This Row],[VALOR APROX TRANSPORTE]]</f>
        <v>0</v>
      </c>
      <c r="R15" s="16"/>
      <c r="S15" s="16"/>
    </row>
    <row r="16" spans="1:19" x14ac:dyDescent="0.25">
      <c r="A16" t="s">
        <v>23</v>
      </c>
      <c r="B16" t="str">
        <f>VLOOKUP(Tabla4[[#This Row],[RBD]], Monto[], 2, FALSE)</f>
        <v>Y aparecerá el nombre del RBD</v>
      </c>
      <c r="C16">
        <f>VLOOKUP(Tabla4[[#This Row],[RBD]], Monto[], 3, FALSE)</f>
        <v>0</v>
      </c>
      <c r="G16" t="s">
        <v>27</v>
      </c>
      <c r="H16">
        <f>VLOOKUP(Tabla4[[#This Row],[NOMBRE DESTINO]], Destinos[], 2, FALSE)</f>
        <v>0</v>
      </c>
      <c r="I16" s="44"/>
      <c r="J16" s="44"/>
      <c r="K16" s="44"/>
      <c r="L16" s="62"/>
      <c r="M16" s="62"/>
      <c r="P16" s="81">
        <f>SUMIFS(Destinos7[Monto],Destinos7[Columna2],Tabla4[[#This Row],[TIPO BUS]],Destinos7[Destino],Tabla4[[#This Row],[NOMBRE DESTINO]])</f>
        <v>0</v>
      </c>
      <c r="Q16" s="16">
        <f>Tabla4[[#This Row],[CANTIDAD DE TIPO DE BUS]]*Tabla4[[#This Row],[VALOR APROX TRANSPORTE]]</f>
        <v>0</v>
      </c>
      <c r="R16" s="16"/>
      <c r="S16" s="16"/>
    </row>
    <row r="17" spans="1:19" x14ac:dyDescent="0.25">
      <c r="A17" t="s">
        <v>23</v>
      </c>
      <c r="B17" t="str">
        <f>VLOOKUP(Tabla4[[#This Row],[RBD]], Monto[], 2, FALSE)</f>
        <v>Y aparecerá el nombre del RBD</v>
      </c>
      <c r="C17">
        <f>VLOOKUP(Tabla4[[#This Row],[RBD]], Monto[], 3, FALSE)</f>
        <v>0</v>
      </c>
      <c r="G17" t="s">
        <v>27</v>
      </c>
      <c r="H17">
        <f>VLOOKUP(Tabla4[[#This Row],[NOMBRE DESTINO]], Destinos[], 2, FALSE)</f>
        <v>0</v>
      </c>
      <c r="I17" s="44"/>
      <c r="J17" s="44"/>
      <c r="K17" s="44"/>
      <c r="L17" s="62"/>
      <c r="M17" s="62"/>
      <c r="P17" s="81">
        <f>SUMIFS(Destinos7[Monto],Destinos7[Columna2],Tabla4[[#This Row],[TIPO BUS]],Destinos7[Destino],Tabla4[[#This Row],[NOMBRE DESTINO]])</f>
        <v>0</v>
      </c>
      <c r="Q17" s="16">
        <f>Tabla4[[#This Row],[CANTIDAD DE TIPO DE BUS]]*Tabla4[[#This Row],[VALOR APROX TRANSPORTE]]</f>
        <v>0</v>
      </c>
      <c r="R17" s="16"/>
      <c r="S17" s="16"/>
    </row>
    <row r="18" spans="1:19" x14ac:dyDescent="0.25">
      <c r="A18" t="s">
        <v>23</v>
      </c>
      <c r="B18" t="str">
        <f>VLOOKUP(Tabla4[[#This Row],[RBD]], Monto[], 2, FALSE)</f>
        <v>Y aparecerá el nombre del RBD</v>
      </c>
      <c r="C18">
        <f>VLOOKUP(Tabla4[[#This Row],[RBD]], Monto[], 3, FALSE)</f>
        <v>0</v>
      </c>
      <c r="G18" t="s">
        <v>27</v>
      </c>
      <c r="H18">
        <f>VLOOKUP(Tabla4[[#This Row],[NOMBRE DESTINO]], Destinos[], 2, FALSE)</f>
        <v>0</v>
      </c>
      <c r="I18" s="44"/>
      <c r="J18" s="44"/>
      <c r="K18" s="44"/>
      <c r="L18" s="62"/>
      <c r="M18" s="62"/>
      <c r="P18" s="81">
        <f>SUMIFS(Destinos7[Monto],Destinos7[Columna2],Tabla4[[#This Row],[TIPO BUS]],Destinos7[Destino],Tabla4[[#This Row],[NOMBRE DESTINO]])</f>
        <v>0</v>
      </c>
      <c r="Q18" s="16">
        <f>Tabla4[[#This Row],[CANTIDAD DE TIPO DE BUS]]*Tabla4[[#This Row],[VALOR APROX TRANSPORTE]]</f>
        <v>0</v>
      </c>
      <c r="R18" s="16"/>
      <c r="S18" s="16"/>
    </row>
    <row r="19" spans="1:19" x14ac:dyDescent="0.25">
      <c r="A19" t="s">
        <v>23</v>
      </c>
      <c r="B19" t="str">
        <f>VLOOKUP(Tabla4[[#This Row],[RBD]], Monto[], 2, FALSE)</f>
        <v>Y aparecerá el nombre del RBD</v>
      </c>
      <c r="C19">
        <f>VLOOKUP(Tabla4[[#This Row],[RBD]], Monto[], 3, FALSE)</f>
        <v>0</v>
      </c>
      <c r="G19" t="s">
        <v>27</v>
      </c>
      <c r="H19">
        <f>VLOOKUP(Tabla4[[#This Row],[NOMBRE DESTINO]], Destinos[], 2, FALSE)</f>
        <v>0</v>
      </c>
      <c r="I19" s="44"/>
      <c r="J19" s="44"/>
      <c r="K19" s="44"/>
      <c r="L19" s="62"/>
      <c r="M19" s="62"/>
      <c r="P19" s="81">
        <f>SUMIFS(Destinos7[Monto],Destinos7[Columna2],Tabla4[[#This Row],[TIPO BUS]],Destinos7[Destino],Tabla4[[#This Row],[NOMBRE DESTINO]])</f>
        <v>0</v>
      </c>
      <c r="Q19" s="16">
        <f>Tabla4[[#This Row],[CANTIDAD DE TIPO DE BUS]]*Tabla4[[#This Row],[VALOR APROX TRANSPORTE]]</f>
        <v>0</v>
      </c>
      <c r="R19" s="16"/>
      <c r="S19" s="16"/>
    </row>
    <row r="20" spans="1:19" x14ac:dyDescent="0.25">
      <c r="A20" t="s">
        <v>23</v>
      </c>
      <c r="B20" t="str">
        <f>VLOOKUP(Tabla4[[#This Row],[RBD]], Monto[], 2, FALSE)</f>
        <v>Y aparecerá el nombre del RBD</v>
      </c>
      <c r="C20">
        <f>VLOOKUP(Tabla4[[#This Row],[RBD]], Monto[], 3, FALSE)</f>
        <v>0</v>
      </c>
      <c r="G20" t="s">
        <v>27</v>
      </c>
      <c r="H20">
        <f>VLOOKUP(Tabla4[[#This Row],[NOMBRE DESTINO]], Destinos[], 2, FALSE)</f>
        <v>0</v>
      </c>
      <c r="I20" s="44"/>
      <c r="J20" s="44"/>
      <c r="K20" s="44"/>
      <c r="L20" s="62"/>
      <c r="M20" s="62"/>
      <c r="P20" s="81">
        <f>SUMIFS(Destinos7[Monto],Destinos7[Columna2],Tabla4[[#This Row],[TIPO BUS]],Destinos7[Destino],Tabla4[[#This Row],[NOMBRE DESTINO]])</f>
        <v>0</v>
      </c>
      <c r="Q20" s="16">
        <f>Tabla4[[#This Row],[CANTIDAD DE TIPO DE BUS]]*Tabla4[[#This Row],[VALOR APROX TRANSPORTE]]</f>
        <v>0</v>
      </c>
      <c r="R20" s="16"/>
      <c r="S20" s="16"/>
    </row>
    <row r="21" spans="1:19" x14ac:dyDescent="0.25">
      <c r="A21" t="s">
        <v>23</v>
      </c>
      <c r="B21" t="str">
        <f>VLOOKUP(Tabla4[[#This Row],[RBD]], Monto[], 2, FALSE)</f>
        <v>Y aparecerá el nombre del RBD</v>
      </c>
      <c r="C21">
        <f>VLOOKUP(Tabla4[[#This Row],[RBD]], Monto[], 3, FALSE)</f>
        <v>0</v>
      </c>
      <c r="G21" t="s">
        <v>27</v>
      </c>
      <c r="H21">
        <f>VLOOKUP(Tabla4[[#This Row],[NOMBRE DESTINO]], Destinos[], 2, FALSE)</f>
        <v>0</v>
      </c>
      <c r="I21" s="44"/>
      <c r="J21" s="44"/>
      <c r="K21" s="44"/>
      <c r="L21" s="62"/>
      <c r="M21" s="62"/>
      <c r="P21" s="81">
        <f>SUMIFS(Destinos7[Monto],Destinos7[Columna2],Tabla4[[#This Row],[TIPO BUS]],Destinos7[Destino],Tabla4[[#This Row],[NOMBRE DESTINO]])</f>
        <v>0</v>
      </c>
      <c r="Q21" s="16">
        <f>Tabla4[[#This Row],[CANTIDAD DE TIPO DE BUS]]*Tabla4[[#This Row],[VALOR APROX TRANSPORTE]]</f>
        <v>0</v>
      </c>
      <c r="R21" s="16"/>
      <c r="S21" s="16"/>
    </row>
    <row r="22" spans="1:19" x14ac:dyDescent="0.25">
      <c r="A22" t="s">
        <v>23</v>
      </c>
      <c r="B22" t="str">
        <f>VLOOKUP(Tabla4[[#This Row],[RBD]], Monto[], 2, FALSE)</f>
        <v>Y aparecerá el nombre del RBD</v>
      </c>
      <c r="C22">
        <f>VLOOKUP(Tabla4[[#This Row],[RBD]], Monto[], 3, FALSE)</f>
        <v>0</v>
      </c>
      <c r="G22" t="s">
        <v>27</v>
      </c>
      <c r="H22">
        <f>VLOOKUP(Tabla4[[#This Row],[NOMBRE DESTINO]], Destinos[], 2, FALSE)</f>
        <v>0</v>
      </c>
      <c r="I22" s="44"/>
      <c r="J22" s="44"/>
      <c r="K22" s="44"/>
      <c r="L22" s="62"/>
      <c r="M22" s="62"/>
      <c r="P22" s="81">
        <f>SUMIFS(Destinos7[Monto],Destinos7[Columna2],Tabla4[[#This Row],[TIPO BUS]],Destinos7[Destino],Tabla4[[#This Row],[NOMBRE DESTINO]])</f>
        <v>0</v>
      </c>
      <c r="Q22" s="16">
        <f>Tabla4[[#This Row],[CANTIDAD DE TIPO DE BUS]]*Tabla4[[#This Row],[VALOR APROX TRANSPORTE]]</f>
        <v>0</v>
      </c>
      <c r="R22" s="16"/>
      <c r="S22" s="16"/>
    </row>
    <row r="23" spans="1:19" x14ac:dyDescent="0.25">
      <c r="A23" t="s">
        <v>23</v>
      </c>
      <c r="B23" t="str">
        <f>VLOOKUP(Tabla4[[#This Row],[RBD]], Monto[], 2, FALSE)</f>
        <v>Y aparecerá el nombre del RBD</v>
      </c>
      <c r="C23">
        <f>VLOOKUP(Tabla4[[#This Row],[RBD]], Monto[], 3, FALSE)</f>
        <v>0</v>
      </c>
      <c r="G23" t="s">
        <v>27</v>
      </c>
      <c r="H23">
        <f>VLOOKUP(Tabla4[[#This Row],[NOMBRE DESTINO]], Destinos[], 2, FALSE)</f>
        <v>0</v>
      </c>
      <c r="I23" s="44"/>
      <c r="J23" s="44"/>
      <c r="K23" s="44"/>
      <c r="L23" s="62"/>
      <c r="M23" s="62"/>
      <c r="P23" s="81">
        <f>SUMIFS(Destinos7[Monto],Destinos7[Columna2],Tabla4[[#This Row],[TIPO BUS]],Destinos7[Destino],Tabla4[[#This Row],[NOMBRE DESTINO]])</f>
        <v>0</v>
      </c>
      <c r="Q23" s="16">
        <f>Tabla4[[#This Row],[CANTIDAD DE TIPO DE BUS]]*Tabla4[[#This Row],[VALOR APROX TRANSPORTE]]</f>
        <v>0</v>
      </c>
      <c r="R23" s="16"/>
      <c r="S23" s="16"/>
    </row>
    <row r="24" spans="1:19" x14ac:dyDescent="0.25">
      <c r="A24" t="s">
        <v>23</v>
      </c>
      <c r="B24" t="str">
        <f>VLOOKUP(Tabla4[[#This Row],[RBD]], Monto[], 2, FALSE)</f>
        <v>Y aparecerá el nombre del RBD</v>
      </c>
      <c r="C24">
        <f>VLOOKUP(Tabla4[[#This Row],[RBD]], Monto[], 3, FALSE)</f>
        <v>0</v>
      </c>
      <c r="G24" t="s">
        <v>27</v>
      </c>
      <c r="H24">
        <f>VLOOKUP(Tabla4[[#This Row],[NOMBRE DESTINO]], Destinos[], 2, FALSE)</f>
        <v>0</v>
      </c>
      <c r="I24" s="44"/>
      <c r="J24" s="44"/>
      <c r="K24" s="44"/>
      <c r="L24" s="62"/>
      <c r="M24" s="62"/>
      <c r="P24" s="81">
        <f>SUMIFS(Destinos7[Monto],Destinos7[Columna2],Tabla4[[#This Row],[TIPO BUS]],Destinos7[Destino],Tabla4[[#This Row],[NOMBRE DESTINO]])</f>
        <v>0</v>
      </c>
      <c r="Q24" s="16">
        <f>Tabla4[[#This Row],[CANTIDAD DE TIPO DE BUS]]*Tabla4[[#This Row],[VALOR APROX TRANSPORTE]]</f>
        <v>0</v>
      </c>
      <c r="R24" s="16"/>
      <c r="S24" s="16"/>
    </row>
    <row r="25" spans="1:19" x14ac:dyDescent="0.25">
      <c r="A25" t="s">
        <v>23</v>
      </c>
      <c r="B25" t="str">
        <f>VLOOKUP(Tabla4[[#This Row],[RBD]], Monto[], 2, FALSE)</f>
        <v>Y aparecerá el nombre del RBD</v>
      </c>
      <c r="C25">
        <f>VLOOKUP(Tabla4[[#This Row],[RBD]], Monto[], 3, FALSE)</f>
        <v>0</v>
      </c>
      <c r="G25" t="s">
        <v>27</v>
      </c>
      <c r="H25">
        <f>VLOOKUP(Tabla4[[#This Row],[NOMBRE DESTINO]], Destinos[], 2, FALSE)</f>
        <v>0</v>
      </c>
      <c r="I25" s="44"/>
      <c r="J25" s="44"/>
      <c r="K25" s="44"/>
      <c r="L25" s="62"/>
      <c r="M25" s="62"/>
      <c r="P25" s="81">
        <f>SUMIFS(Destinos7[Monto],Destinos7[Columna2],Tabla4[[#This Row],[TIPO BUS]],Destinos7[Destino],Tabla4[[#This Row],[NOMBRE DESTINO]])</f>
        <v>0</v>
      </c>
      <c r="Q25" s="16">
        <f>Tabla4[[#This Row],[CANTIDAD DE TIPO DE BUS]]*Tabla4[[#This Row],[VALOR APROX TRANSPORTE]]</f>
        <v>0</v>
      </c>
      <c r="R25" s="16"/>
      <c r="S25" s="16"/>
    </row>
    <row r="26" spans="1:19" x14ac:dyDescent="0.25">
      <c r="A26" t="s">
        <v>23</v>
      </c>
      <c r="B26" t="str">
        <f>VLOOKUP(Tabla4[[#This Row],[RBD]], Monto[], 2, FALSE)</f>
        <v>Y aparecerá el nombre del RBD</v>
      </c>
      <c r="C26">
        <f>VLOOKUP(Tabla4[[#This Row],[RBD]], Monto[], 3, FALSE)</f>
        <v>0</v>
      </c>
      <c r="G26" t="s">
        <v>27</v>
      </c>
      <c r="H26">
        <f>VLOOKUP(Tabla4[[#This Row],[NOMBRE DESTINO]], Destinos[], 2, FALSE)</f>
        <v>0</v>
      </c>
      <c r="I26" s="44"/>
      <c r="J26" s="44"/>
      <c r="K26" s="44"/>
      <c r="L26" s="62"/>
      <c r="M26" s="62"/>
      <c r="P26" s="81">
        <f>SUMIFS(Destinos7[Monto],Destinos7[Columna2],Tabla4[[#This Row],[TIPO BUS]],Destinos7[Destino],Tabla4[[#This Row],[NOMBRE DESTINO]])</f>
        <v>0</v>
      </c>
      <c r="Q26" s="16">
        <f>Tabla4[[#This Row],[CANTIDAD DE TIPO DE BUS]]*Tabla4[[#This Row],[VALOR APROX TRANSPORTE]]</f>
        <v>0</v>
      </c>
      <c r="R26" s="16"/>
      <c r="S26" s="16"/>
    </row>
    <row r="27" spans="1:19" x14ac:dyDescent="0.25">
      <c r="A27" t="s">
        <v>23</v>
      </c>
      <c r="B27" t="str">
        <f>VLOOKUP(Tabla4[[#This Row],[RBD]], Monto[], 2, FALSE)</f>
        <v>Y aparecerá el nombre del RBD</v>
      </c>
      <c r="C27">
        <f>VLOOKUP(Tabla4[[#This Row],[RBD]], Monto[], 3, FALSE)</f>
        <v>0</v>
      </c>
      <c r="G27" t="s">
        <v>27</v>
      </c>
      <c r="H27">
        <f>VLOOKUP(Tabla4[[#This Row],[NOMBRE DESTINO]], Destinos[], 2, FALSE)</f>
        <v>0</v>
      </c>
      <c r="I27" s="44"/>
      <c r="J27" s="44"/>
      <c r="K27" s="44"/>
      <c r="L27" s="62"/>
      <c r="M27" s="62"/>
      <c r="P27" s="81">
        <f>SUMIFS(Destinos7[Monto],Destinos7[Columna2],Tabla4[[#This Row],[TIPO BUS]],Destinos7[Destino],Tabla4[[#This Row],[NOMBRE DESTINO]])</f>
        <v>0</v>
      </c>
      <c r="Q27" s="16">
        <f>Tabla4[[#This Row],[CANTIDAD DE TIPO DE BUS]]*Tabla4[[#This Row],[VALOR APROX TRANSPORTE]]</f>
        <v>0</v>
      </c>
      <c r="R27" s="16"/>
      <c r="S27" s="16"/>
    </row>
    <row r="28" spans="1:19" x14ac:dyDescent="0.25">
      <c r="A28" t="s">
        <v>23</v>
      </c>
      <c r="B28" t="str">
        <f>VLOOKUP(Tabla4[[#This Row],[RBD]], Monto[], 2, FALSE)</f>
        <v>Y aparecerá el nombre del RBD</v>
      </c>
      <c r="C28">
        <f>VLOOKUP(Tabla4[[#This Row],[RBD]], Monto[], 3, FALSE)</f>
        <v>0</v>
      </c>
      <c r="G28" t="s">
        <v>27</v>
      </c>
      <c r="H28">
        <f>VLOOKUP(Tabla4[[#This Row],[NOMBRE DESTINO]], Destinos[], 2, FALSE)</f>
        <v>0</v>
      </c>
      <c r="I28" s="44"/>
      <c r="J28" s="44"/>
      <c r="K28" s="44"/>
      <c r="L28" s="62"/>
      <c r="M28" s="62"/>
      <c r="P28" s="81">
        <f>SUMIFS(Destinos7[Monto],Destinos7[Columna2],Tabla4[[#This Row],[TIPO BUS]],Destinos7[Destino],Tabla4[[#This Row],[NOMBRE DESTINO]])</f>
        <v>0</v>
      </c>
      <c r="Q28" s="16">
        <f>Tabla4[[#This Row],[CANTIDAD DE TIPO DE BUS]]*Tabla4[[#This Row],[VALOR APROX TRANSPORTE]]</f>
        <v>0</v>
      </c>
      <c r="R28" s="16"/>
      <c r="S28" s="16"/>
    </row>
    <row r="29" spans="1:19" x14ac:dyDescent="0.25">
      <c r="A29" t="s">
        <v>23</v>
      </c>
      <c r="B29" t="str">
        <f>VLOOKUP(Tabla4[[#This Row],[RBD]], Monto[], 2, FALSE)</f>
        <v>Y aparecerá el nombre del RBD</v>
      </c>
      <c r="C29">
        <f>VLOOKUP(Tabla4[[#This Row],[RBD]], Monto[], 3, FALSE)</f>
        <v>0</v>
      </c>
      <c r="G29" t="s">
        <v>27</v>
      </c>
      <c r="H29">
        <f>VLOOKUP(Tabla4[[#This Row],[NOMBRE DESTINO]], Destinos[], 2, FALSE)</f>
        <v>0</v>
      </c>
      <c r="I29" s="44"/>
      <c r="J29" s="44"/>
      <c r="K29" s="44"/>
      <c r="L29" s="62"/>
      <c r="M29" s="62"/>
      <c r="P29" s="81">
        <f>SUMIFS(Destinos7[Monto],Destinos7[Columna2],Tabla4[[#This Row],[TIPO BUS]],Destinos7[Destino],Tabla4[[#This Row],[NOMBRE DESTINO]])</f>
        <v>0</v>
      </c>
      <c r="Q29" s="16">
        <f>Tabla4[[#This Row],[CANTIDAD DE TIPO DE BUS]]*Tabla4[[#This Row],[VALOR APROX TRANSPORTE]]</f>
        <v>0</v>
      </c>
      <c r="R29" s="16"/>
      <c r="S29" s="16"/>
    </row>
    <row r="30" spans="1:19" x14ac:dyDescent="0.25">
      <c r="A30" t="s">
        <v>23</v>
      </c>
      <c r="B30" t="str">
        <f>VLOOKUP(Tabla4[[#This Row],[RBD]], Monto[], 2, FALSE)</f>
        <v>Y aparecerá el nombre del RBD</v>
      </c>
      <c r="C30">
        <f>VLOOKUP(Tabla4[[#This Row],[RBD]], Monto[], 3, FALSE)</f>
        <v>0</v>
      </c>
      <c r="G30" t="s">
        <v>27</v>
      </c>
      <c r="H30">
        <f>VLOOKUP(Tabla4[[#This Row],[NOMBRE DESTINO]], Destinos[], 2, FALSE)</f>
        <v>0</v>
      </c>
      <c r="I30" s="44"/>
      <c r="J30" s="44"/>
      <c r="K30" s="44"/>
      <c r="L30" s="62"/>
      <c r="M30" s="62"/>
      <c r="P30" s="81">
        <f>SUMIFS(Destinos7[Monto],Destinos7[Columna2],Tabla4[[#This Row],[TIPO BUS]],Destinos7[Destino],Tabla4[[#This Row],[NOMBRE DESTINO]])</f>
        <v>0</v>
      </c>
      <c r="Q30" s="16">
        <f>Tabla4[[#This Row],[CANTIDAD DE TIPO DE BUS]]*Tabla4[[#This Row],[VALOR APROX TRANSPORTE]]</f>
        <v>0</v>
      </c>
      <c r="R30" s="16"/>
      <c r="S30" s="16"/>
    </row>
    <row r="31" spans="1:19" x14ac:dyDescent="0.25">
      <c r="A31" t="s">
        <v>23</v>
      </c>
      <c r="B31" t="str">
        <f>VLOOKUP(Tabla4[[#This Row],[RBD]], Monto[], 2, FALSE)</f>
        <v>Y aparecerá el nombre del RBD</v>
      </c>
      <c r="C31">
        <f>VLOOKUP(Tabla4[[#This Row],[RBD]], Monto[], 3, FALSE)</f>
        <v>0</v>
      </c>
      <c r="G31" t="s">
        <v>27</v>
      </c>
      <c r="H31">
        <f>VLOOKUP(Tabla4[[#This Row],[NOMBRE DESTINO]], Destinos[], 2, FALSE)</f>
        <v>0</v>
      </c>
      <c r="I31" s="44"/>
      <c r="J31" s="44"/>
      <c r="K31" s="44"/>
      <c r="L31" s="62"/>
      <c r="M31" s="62"/>
      <c r="P31" s="81">
        <f>SUMIFS(Destinos7[Monto],Destinos7[Columna2],Tabla4[[#This Row],[TIPO BUS]],Destinos7[Destino],Tabla4[[#This Row],[NOMBRE DESTINO]])</f>
        <v>0</v>
      </c>
      <c r="Q31" s="16">
        <f>Tabla4[[#This Row],[CANTIDAD DE TIPO DE BUS]]*Tabla4[[#This Row],[VALOR APROX TRANSPORTE]]</f>
        <v>0</v>
      </c>
      <c r="R31" s="16"/>
      <c r="S31" s="16"/>
    </row>
    <row r="32" spans="1:19" x14ac:dyDescent="0.25">
      <c r="A32" t="s">
        <v>23</v>
      </c>
      <c r="B32" t="str">
        <f>VLOOKUP(Tabla4[[#This Row],[RBD]], Monto[], 2, FALSE)</f>
        <v>Y aparecerá el nombre del RBD</v>
      </c>
      <c r="C32">
        <f>VLOOKUP(Tabla4[[#This Row],[RBD]], Monto[], 3, FALSE)</f>
        <v>0</v>
      </c>
      <c r="G32" t="s">
        <v>27</v>
      </c>
      <c r="H32">
        <f>VLOOKUP(Tabla4[[#This Row],[NOMBRE DESTINO]], Destinos[], 2, FALSE)</f>
        <v>0</v>
      </c>
      <c r="I32" s="44"/>
      <c r="J32" s="44"/>
      <c r="K32" s="44"/>
      <c r="L32" s="62"/>
      <c r="M32" s="62"/>
      <c r="P32" s="81">
        <f>SUMIFS(Destinos7[Monto],Destinos7[Columna2],Tabla4[[#This Row],[TIPO BUS]],Destinos7[Destino],Tabla4[[#This Row],[NOMBRE DESTINO]])</f>
        <v>0</v>
      </c>
      <c r="Q32" s="16">
        <f>Tabla4[[#This Row],[CANTIDAD DE TIPO DE BUS]]*Tabla4[[#This Row],[VALOR APROX TRANSPORTE]]</f>
        <v>0</v>
      </c>
      <c r="R32" s="16"/>
      <c r="S32" s="16"/>
    </row>
    <row r="33" spans="1:19" x14ac:dyDescent="0.25">
      <c r="A33" t="s">
        <v>23</v>
      </c>
      <c r="B33" t="str">
        <f>VLOOKUP(Tabla4[[#This Row],[RBD]], Monto[], 2, FALSE)</f>
        <v>Y aparecerá el nombre del RBD</v>
      </c>
      <c r="C33">
        <f>VLOOKUP(Tabla4[[#This Row],[RBD]], Monto[], 3, FALSE)</f>
        <v>0</v>
      </c>
      <c r="G33" t="s">
        <v>27</v>
      </c>
      <c r="H33">
        <f>VLOOKUP(Tabla4[[#This Row],[NOMBRE DESTINO]], Destinos[], 2, FALSE)</f>
        <v>0</v>
      </c>
      <c r="I33" s="44"/>
      <c r="J33" s="44"/>
      <c r="K33" s="44"/>
      <c r="L33" s="62"/>
      <c r="M33" s="62"/>
      <c r="P33" s="81">
        <f>SUMIFS(Destinos7[Monto],Destinos7[Columna2],Tabla4[[#This Row],[TIPO BUS]],Destinos7[Destino],Tabla4[[#This Row],[NOMBRE DESTINO]])</f>
        <v>0</v>
      </c>
      <c r="Q33" s="16">
        <f>Tabla4[[#This Row],[CANTIDAD DE TIPO DE BUS]]*Tabla4[[#This Row],[VALOR APROX TRANSPORTE]]</f>
        <v>0</v>
      </c>
      <c r="R33" s="16"/>
      <c r="S33" s="16"/>
    </row>
    <row r="34" spans="1:19" x14ac:dyDescent="0.25">
      <c r="A34" t="s">
        <v>23</v>
      </c>
      <c r="B34" t="str">
        <f>VLOOKUP(Tabla4[[#This Row],[RBD]], Monto[], 2, FALSE)</f>
        <v>Y aparecerá el nombre del RBD</v>
      </c>
      <c r="C34">
        <f>VLOOKUP(Tabla4[[#This Row],[RBD]], Monto[], 3, FALSE)</f>
        <v>0</v>
      </c>
      <c r="G34" t="s">
        <v>27</v>
      </c>
      <c r="H34">
        <f>VLOOKUP(Tabla4[[#This Row],[NOMBRE DESTINO]], Destinos[], 2, FALSE)</f>
        <v>0</v>
      </c>
      <c r="I34" s="44"/>
      <c r="J34" s="44"/>
      <c r="K34" s="44"/>
      <c r="L34" s="62"/>
      <c r="M34" s="62"/>
      <c r="P34" s="81">
        <f>SUMIFS(Destinos7[Monto],Destinos7[Columna2],Tabla4[[#This Row],[TIPO BUS]],Destinos7[Destino],Tabla4[[#This Row],[NOMBRE DESTINO]])</f>
        <v>0</v>
      </c>
      <c r="Q34" s="16">
        <f>Tabla4[[#This Row],[CANTIDAD DE TIPO DE BUS]]*Tabla4[[#This Row],[VALOR APROX TRANSPORTE]]</f>
        <v>0</v>
      </c>
      <c r="R34" s="16"/>
      <c r="S34" s="16"/>
    </row>
    <row r="35" spans="1:19" x14ac:dyDescent="0.25">
      <c r="A35" t="s">
        <v>23</v>
      </c>
      <c r="B35" t="str">
        <f>VLOOKUP(Tabla4[[#This Row],[RBD]], Monto[], 2, FALSE)</f>
        <v>Y aparecerá el nombre del RBD</v>
      </c>
      <c r="C35">
        <f>VLOOKUP(Tabla4[[#This Row],[RBD]], Monto[], 3, FALSE)</f>
        <v>0</v>
      </c>
      <c r="G35" t="s">
        <v>27</v>
      </c>
      <c r="H35">
        <f>VLOOKUP(Tabla4[[#This Row],[NOMBRE DESTINO]], Destinos[], 2, FALSE)</f>
        <v>0</v>
      </c>
      <c r="I35" s="44"/>
      <c r="J35" s="44"/>
      <c r="K35" s="44"/>
      <c r="L35" s="62"/>
      <c r="M35" s="62"/>
      <c r="P35" s="81">
        <f>SUMIFS(Destinos7[Monto],Destinos7[Columna2],Tabla4[[#This Row],[TIPO BUS]],Destinos7[Destino],Tabla4[[#This Row],[NOMBRE DESTINO]])</f>
        <v>0</v>
      </c>
      <c r="Q35" s="16">
        <f>Tabla4[[#This Row],[CANTIDAD DE TIPO DE BUS]]*Tabla4[[#This Row],[VALOR APROX TRANSPORTE]]</f>
        <v>0</v>
      </c>
      <c r="R35" s="16"/>
      <c r="S35" s="16"/>
    </row>
    <row r="36" spans="1:19" x14ac:dyDescent="0.25">
      <c r="A36" t="s">
        <v>23</v>
      </c>
      <c r="B36" t="str">
        <f>VLOOKUP(Tabla4[[#This Row],[RBD]], Monto[], 2, FALSE)</f>
        <v>Y aparecerá el nombre del RBD</v>
      </c>
      <c r="C36">
        <f>VLOOKUP(Tabla4[[#This Row],[RBD]], Monto[], 3, FALSE)</f>
        <v>0</v>
      </c>
      <c r="G36" t="s">
        <v>27</v>
      </c>
      <c r="H36">
        <f>VLOOKUP(Tabla4[[#This Row],[NOMBRE DESTINO]], Destinos[], 2, FALSE)</f>
        <v>0</v>
      </c>
      <c r="I36" s="44"/>
      <c r="J36" s="44"/>
      <c r="K36" s="44"/>
      <c r="L36" s="62"/>
      <c r="M36" s="62"/>
      <c r="P36" s="81">
        <f>SUMIFS(Destinos7[Monto],Destinos7[Columna2],Tabla4[[#This Row],[TIPO BUS]],Destinos7[Destino],Tabla4[[#This Row],[NOMBRE DESTINO]])</f>
        <v>0</v>
      </c>
      <c r="Q36" s="16">
        <f>Tabla4[[#This Row],[CANTIDAD DE TIPO DE BUS]]*Tabla4[[#This Row],[VALOR APROX TRANSPORTE]]</f>
        <v>0</v>
      </c>
      <c r="R36" s="16"/>
      <c r="S36" s="16"/>
    </row>
    <row r="37" spans="1:19" x14ac:dyDescent="0.25">
      <c r="M37" s="62"/>
      <c r="Q37" s="22">
        <f>SUM(Tabla4[TOTAL])</f>
        <v>144500</v>
      </c>
      <c r="R37" s="22"/>
      <c r="S37" s="16"/>
    </row>
  </sheetData>
  <sheetProtection algorithmName="SHA-512" hashValue="r7Mn+Nu2xg/7K1Jx3CP/j60q7Hqbdx6cZSE6/aOcp9dlX/bjOSf2KkWk3H+RR3hLX5IMp8G591XjkmJqIr3wKA==" saltValue="iAKuvj5JlZehN1kb2tmJsg==" spinCount="100000" sheet="1" formatCells="0" formatColumns="0" formatRows="0" insertColumns="0" insertRows="0" insertHyperlinks="0" deleteColumns="0" deleteRows="0" sort="0" autoFilter="0" pivotTables="0"/>
  <protectedRanges>
    <protectedRange sqref="I5:O37" name="Rango3"/>
    <protectedRange sqref="A5:A36" name="Rango1"/>
    <protectedRange sqref="D5:G36" name="Rango2"/>
  </protectedRanges>
  <phoneticPr fontId="6" type="noConversion"/>
  <conditionalFormatting sqref="D2">
    <cfRule type="cellIs" dxfId="2" priority="1" operator="lessThan">
      <formula>0</formula>
    </cfRule>
  </conditionalFormatting>
  <dataValidations count="1">
    <dataValidation type="whole" allowBlank="1" showInputMessage="1" showErrorMessage="1" error="Debe seleccionar un número correspondiente a una fecha" sqref="F5:F36" xr:uid="{B14712AE-6419-459B-9486-E80D8628D733}">
      <formula1>1</formula1>
      <formula2>31</formula2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974191D-D069-4D9C-BEE7-62A4FD606737}">
          <x14:formula1>
            <xm:f>BBDD_antiguo!$H$1:$H$13</xm:f>
          </x14:formula1>
          <xm:sqref>E5:E36</xm:sqref>
        </x14:dataValidation>
        <x14:dataValidation type="list" allowBlank="1" showInputMessage="1" showErrorMessage="1" xr:uid="{7C5853E6-7224-4A04-B64B-55922B0BEB22}">
          <x14:formula1>
            <xm:f>BBDD_antiguo!$A$1:$A$62</xm:f>
          </x14:formula1>
          <xm:sqref>A5:A36</xm:sqref>
        </x14:dataValidation>
        <x14:dataValidation type="list" allowBlank="1" showInputMessage="1" showErrorMessage="1" xr:uid="{84FD0943-3AAD-40E9-99AF-2793F533C535}">
          <x14:formula1>
            <xm:f>BBDD_antiguo!$J$1:$J$22</xm:f>
          </x14:formula1>
          <xm:sqref>D6:D36</xm:sqref>
        </x14:dataValidation>
        <x14:dataValidation type="list" allowBlank="1" showInputMessage="1" showErrorMessage="1" xr:uid="{2CF67944-9F6B-456A-A954-FCEB19274526}">
          <x14:formula1>
            <xm:f>BBDD_antiguo!$M$1:$M$130</xm:f>
          </x14:formula1>
          <xm:sqref>G5:G36</xm:sqref>
        </x14:dataValidation>
        <x14:dataValidation type="list" allowBlank="1" showInputMessage="1" showErrorMessage="1" xr:uid="{2813E8FF-D5C4-472C-8591-8260BE4257DC}">
          <x14:formula1>
            <xm:f>BBDD_antiguo!$W$2:$W$4</xm:f>
          </x14:formula1>
          <xm:sqref>N6:N36 N5</xm:sqref>
        </x14:dataValidation>
        <x14:dataValidation type="list" allowBlank="1" showInputMessage="1" showErrorMessage="1" xr:uid="{D31F5B0C-43C4-4457-9406-9D0E45E44979}">
          <x14:formula1>
            <xm:f>BBDD_antiguo!$J$1:$J$26</xm:f>
          </x14:formula1>
          <xm:sqref>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8247-1376-45EC-B974-90053ACB302C}">
  <dimension ref="A1:H129"/>
  <sheetViews>
    <sheetView workbookViewId="0">
      <selection activeCell="J9" sqref="J9"/>
    </sheetView>
  </sheetViews>
  <sheetFormatPr baseColWidth="10" defaultRowHeight="15" x14ac:dyDescent="0.25"/>
  <cols>
    <col min="2" max="2" width="18.7109375" customWidth="1"/>
    <col min="5" max="5" width="14.85546875" customWidth="1"/>
  </cols>
  <sheetData>
    <row r="1" spans="1:8" ht="60" x14ac:dyDescent="0.25">
      <c r="A1" s="36" t="s">
        <v>562</v>
      </c>
      <c r="B1" s="36" t="s">
        <v>563</v>
      </c>
      <c r="C1" s="36" t="s">
        <v>37</v>
      </c>
      <c r="D1" s="36" t="s">
        <v>38</v>
      </c>
      <c r="E1" s="36" t="s">
        <v>39</v>
      </c>
      <c r="F1" s="36" t="s">
        <v>26</v>
      </c>
      <c r="G1" s="36" t="s">
        <v>564</v>
      </c>
      <c r="H1" s="36" t="s">
        <v>21</v>
      </c>
    </row>
    <row r="2" spans="1:8" ht="30" x14ac:dyDescent="0.25">
      <c r="A2" s="71">
        <v>1</v>
      </c>
      <c r="B2" s="27" t="s">
        <v>46</v>
      </c>
      <c r="C2" s="27" t="s">
        <v>47</v>
      </c>
      <c r="D2" s="27" t="s">
        <v>48</v>
      </c>
      <c r="E2" s="27" t="s">
        <v>49</v>
      </c>
      <c r="F2" s="28">
        <v>103750</v>
      </c>
      <c r="G2" s="28">
        <v>140000</v>
      </c>
      <c r="H2" s="28">
        <v>177500</v>
      </c>
    </row>
    <row r="3" spans="1:8" ht="30" x14ac:dyDescent="0.25">
      <c r="A3" s="71">
        <f>A2+1</f>
        <v>2</v>
      </c>
      <c r="B3" s="27" t="s">
        <v>55</v>
      </c>
      <c r="C3" s="27" t="s">
        <v>47</v>
      </c>
      <c r="D3" s="27" t="s">
        <v>48</v>
      </c>
      <c r="E3" s="27" t="s">
        <v>49</v>
      </c>
      <c r="F3" s="28">
        <v>103750</v>
      </c>
      <c r="G3" s="28">
        <v>140000</v>
      </c>
      <c r="H3" s="28">
        <v>177500</v>
      </c>
    </row>
    <row r="4" spans="1:8" ht="30" x14ac:dyDescent="0.25">
      <c r="A4" s="71">
        <f t="shared" ref="A4:A67" si="0">A3+1</f>
        <v>3</v>
      </c>
      <c r="B4" s="27" t="s">
        <v>61</v>
      </c>
      <c r="C4" s="27" t="s">
        <v>47</v>
      </c>
      <c r="D4" s="27" t="s">
        <v>48</v>
      </c>
      <c r="E4" s="27" t="s">
        <v>49</v>
      </c>
      <c r="F4" s="28">
        <v>104688</v>
      </c>
      <c r="G4" s="28">
        <v>141875</v>
      </c>
      <c r="H4" s="28">
        <v>181250</v>
      </c>
    </row>
    <row r="5" spans="1:8" ht="30" x14ac:dyDescent="0.25">
      <c r="A5" s="71">
        <f t="shared" si="0"/>
        <v>4</v>
      </c>
      <c r="B5" s="27" t="s">
        <v>20</v>
      </c>
      <c r="C5" s="27" t="s">
        <v>47</v>
      </c>
      <c r="D5" s="27" t="s">
        <v>68</v>
      </c>
      <c r="E5" s="27" t="s">
        <v>49</v>
      </c>
      <c r="F5" s="28">
        <v>105625</v>
      </c>
      <c r="G5" s="28">
        <v>143750</v>
      </c>
      <c r="H5" s="28">
        <v>185000</v>
      </c>
    </row>
    <row r="6" spans="1:8" ht="30" x14ac:dyDescent="0.25">
      <c r="A6" s="71">
        <f t="shared" si="0"/>
        <v>5</v>
      </c>
      <c r="B6" s="27" t="s">
        <v>25</v>
      </c>
      <c r="C6" s="27" t="s">
        <v>47</v>
      </c>
      <c r="D6" s="27" t="s">
        <v>74</v>
      </c>
      <c r="E6" s="27" t="s">
        <v>49</v>
      </c>
      <c r="F6" s="28">
        <v>111250</v>
      </c>
      <c r="G6" s="28">
        <v>155000</v>
      </c>
      <c r="H6" s="28">
        <v>207500</v>
      </c>
    </row>
    <row r="7" spans="1:8" ht="30" x14ac:dyDescent="0.25">
      <c r="A7" s="71">
        <f t="shared" si="0"/>
        <v>6</v>
      </c>
      <c r="B7" s="27" t="s">
        <v>79</v>
      </c>
      <c r="C7" s="27" t="s">
        <v>47</v>
      </c>
      <c r="D7" s="27" t="s">
        <v>81</v>
      </c>
      <c r="E7" s="27" t="s">
        <v>49</v>
      </c>
      <c r="F7" s="28">
        <v>101313</v>
      </c>
      <c r="G7" s="28">
        <v>135125</v>
      </c>
      <c r="H7" s="28">
        <v>167750</v>
      </c>
    </row>
    <row r="8" spans="1:8" ht="45" x14ac:dyDescent="0.25">
      <c r="A8" s="71">
        <f t="shared" si="0"/>
        <v>7</v>
      </c>
      <c r="B8" s="27" t="s">
        <v>86</v>
      </c>
      <c r="C8" s="27" t="s">
        <v>47</v>
      </c>
      <c r="D8" s="27" t="s">
        <v>88</v>
      </c>
      <c r="E8" s="27" t="s">
        <v>49</v>
      </c>
      <c r="F8" s="28">
        <v>104688</v>
      </c>
      <c r="G8" s="28">
        <v>141875</v>
      </c>
      <c r="H8" s="28">
        <v>181250</v>
      </c>
    </row>
    <row r="9" spans="1:8" ht="30" x14ac:dyDescent="0.25">
      <c r="A9" s="71">
        <f t="shared" si="0"/>
        <v>8</v>
      </c>
      <c r="B9" s="27" t="s">
        <v>93</v>
      </c>
      <c r="C9" s="27" t="s">
        <v>47</v>
      </c>
      <c r="D9" s="27" t="s">
        <v>95</v>
      </c>
      <c r="E9" s="27" t="s">
        <v>49</v>
      </c>
      <c r="F9" s="28">
        <v>106000</v>
      </c>
      <c r="G9" s="28">
        <v>144500</v>
      </c>
      <c r="H9" s="28">
        <v>186500</v>
      </c>
    </row>
    <row r="10" spans="1:8" ht="75" x14ac:dyDescent="0.25">
      <c r="A10" s="71">
        <f t="shared" si="0"/>
        <v>9</v>
      </c>
      <c r="B10" s="27" t="s">
        <v>24</v>
      </c>
      <c r="C10" s="27" t="s">
        <v>47</v>
      </c>
      <c r="D10" s="27" t="s">
        <v>101</v>
      </c>
      <c r="E10" s="27" t="s">
        <v>49</v>
      </c>
      <c r="F10" s="28">
        <v>100375</v>
      </c>
      <c r="G10" s="28">
        <v>133250</v>
      </c>
      <c r="H10" s="28">
        <v>164000</v>
      </c>
    </row>
    <row r="11" spans="1:8" ht="30" x14ac:dyDescent="0.25">
      <c r="A11" s="71">
        <f t="shared" si="0"/>
        <v>10</v>
      </c>
      <c r="B11" s="27" t="s">
        <v>106</v>
      </c>
      <c r="C11" s="27" t="s">
        <v>47</v>
      </c>
      <c r="D11" s="27" t="s">
        <v>95</v>
      </c>
      <c r="E11" s="27" t="s">
        <v>49</v>
      </c>
      <c r="F11" s="28">
        <v>106563</v>
      </c>
      <c r="G11" s="28">
        <v>145625</v>
      </c>
      <c r="H11" s="28">
        <v>188750</v>
      </c>
    </row>
    <row r="12" spans="1:8" ht="30" x14ac:dyDescent="0.25">
      <c r="A12" s="71">
        <f t="shared" si="0"/>
        <v>11</v>
      </c>
      <c r="B12" s="27" t="s">
        <v>112</v>
      </c>
      <c r="C12" s="27" t="s">
        <v>47</v>
      </c>
      <c r="D12" s="27" t="s">
        <v>101</v>
      </c>
      <c r="E12" s="27" t="s">
        <v>49</v>
      </c>
      <c r="F12" s="28">
        <v>100000</v>
      </c>
      <c r="G12" s="28">
        <v>132500</v>
      </c>
      <c r="H12" s="28">
        <v>162500</v>
      </c>
    </row>
    <row r="13" spans="1:8" ht="30" x14ac:dyDescent="0.25">
      <c r="A13" s="71">
        <f t="shared" si="0"/>
        <v>12</v>
      </c>
      <c r="B13" s="27" t="s">
        <v>118</v>
      </c>
      <c r="C13" s="27" t="s">
        <v>47</v>
      </c>
      <c r="D13" s="27" t="s">
        <v>120</v>
      </c>
      <c r="E13" s="27" t="s">
        <v>49</v>
      </c>
      <c r="F13" s="28">
        <v>105625</v>
      </c>
      <c r="G13" s="28">
        <v>143750</v>
      </c>
      <c r="H13" s="28">
        <v>185000</v>
      </c>
    </row>
    <row r="14" spans="1:8" ht="90" x14ac:dyDescent="0.25">
      <c r="A14" s="71">
        <f t="shared" si="0"/>
        <v>13</v>
      </c>
      <c r="B14" s="27" t="s">
        <v>124</v>
      </c>
      <c r="C14" s="27" t="s">
        <v>47</v>
      </c>
      <c r="D14" s="27" t="s">
        <v>126</v>
      </c>
      <c r="E14" s="27" t="s">
        <v>49</v>
      </c>
      <c r="F14" s="28">
        <v>106000</v>
      </c>
      <c r="G14" s="28">
        <v>144500</v>
      </c>
      <c r="H14" s="28">
        <v>186500</v>
      </c>
    </row>
    <row r="15" spans="1:8" ht="90" x14ac:dyDescent="0.25">
      <c r="A15" s="71">
        <f t="shared" si="0"/>
        <v>14</v>
      </c>
      <c r="B15" s="27" t="s">
        <v>130</v>
      </c>
      <c r="C15" s="27" t="s">
        <v>47</v>
      </c>
      <c r="D15" s="27" t="s">
        <v>132</v>
      </c>
      <c r="E15" s="27" t="s">
        <v>49</v>
      </c>
      <c r="F15" s="28">
        <v>106000</v>
      </c>
      <c r="G15" s="28">
        <v>144500</v>
      </c>
      <c r="H15" s="28">
        <v>186500</v>
      </c>
    </row>
    <row r="16" spans="1:8" ht="30" x14ac:dyDescent="0.25">
      <c r="A16" s="71">
        <f t="shared" si="0"/>
        <v>15</v>
      </c>
      <c r="B16" s="27" t="s">
        <v>136</v>
      </c>
      <c r="C16" s="27" t="s">
        <v>47</v>
      </c>
      <c r="D16" s="27" t="s">
        <v>138</v>
      </c>
      <c r="E16" s="27" t="s">
        <v>49</v>
      </c>
      <c r="F16" s="28">
        <v>100563</v>
      </c>
      <c r="G16" s="28">
        <v>133625</v>
      </c>
      <c r="H16" s="28">
        <v>164750</v>
      </c>
    </row>
    <row r="17" spans="1:8" ht="30" x14ac:dyDescent="0.25">
      <c r="A17" s="71">
        <f t="shared" si="0"/>
        <v>16</v>
      </c>
      <c r="B17" s="27" t="s">
        <v>142</v>
      </c>
      <c r="C17" s="27" t="s">
        <v>47</v>
      </c>
      <c r="D17" s="27" t="s">
        <v>144</v>
      </c>
      <c r="E17" s="27" t="s">
        <v>49</v>
      </c>
      <c r="F17" s="28">
        <v>102250</v>
      </c>
      <c r="G17" s="28">
        <v>137000</v>
      </c>
      <c r="H17" s="28">
        <v>171500</v>
      </c>
    </row>
    <row r="18" spans="1:8" ht="30" x14ac:dyDescent="0.25">
      <c r="A18" s="71">
        <f t="shared" si="0"/>
        <v>17</v>
      </c>
      <c r="B18" s="27" t="s">
        <v>148</v>
      </c>
      <c r="C18" s="27" t="s">
        <v>47</v>
      </c>
      <c r="D18" s="27" t="s">
        <v>150</v>
      </c>
      <c r="E18" s="27" t="s">
        <v>49</v>
      </c>
      <c r="F18" s="28">
        <v>103000</v>
      </c>
      <c r="G18" s="28">
        <v>138500</v>
      </c>
      <c r="H18" s="28">
        <v>174500</v>
      </c>
    </row>
    <row r="19" spans="1:8" ht="30" x14ac:dyDescent="0.25">
      <c r="A19" s="71">
        <f t="shared" si="0"/>
        <v>18</v>
      </c>
      <c r="B19" s="27" t="s">
        <v>153</v>
      </c>
      <c r="C19" s="27" t="s">
        <v>47</v>
      </c>
      <c r="D19" s="27" t="s">
        <v>138</v>
      </c>
      <c r="E19" s="27" t="s">
        <v>49</v>
      </c>
      <c r="F19" s="28">
        <v>102250</v>
      </c>
      <c r="G19" s="28">
        <v>137000</v>
      </c>
      <c r="H19" s="28">
        <v>171500</v>
      </c>
    </row>
    <row r="20" spans="1:8" ht="30" x14ac:dyDescent="0.25">
      <c r="A20" s="71">
        <f t="shared" si="0"/>
        <v>19</v>
      </c>
      <c r="B20" s="27" t="s">
        <v>158</v>
      </c>
      <c r="C20" s="27" t="s">
        <v>47</v>
      </c>
      <c r="D20" s="27" t="s">
        <v>74</v>
      </c>
      <c r="E20" s="27" t="s">
        <v>49</v>
      </c>
      <c r="F20" s="28">
        <v>109375</v>
      </c>
      <c r="G20" s="28">
        <v>151250</v>
      </c>
      <c r="H20" s="28">
        <v>200000</v>
      </c>
    </row>
    <row r="21" spans="1:8" ht="45" x14ac:dyDescent="0.25">
      <c r="A21" s="71">
        <f t="shared" si="0"/>
        <v>20</v>
      </c>
      <c r="B21" s="27" t="s">
        <v>163</v>
      </c>
      <c r="C21" s="27" t="s">
        <v>47</v>
      </c>
      <c r="D21" s="27" t="s">
        <v>164</v>
      </c>
      <c r="E21" s="27" t="s">
        <v>49</v>
      </c>
      <c r="F21" s="28">
        <v>104688</v>
      </c>
      <c r="G21" s="28">
        <v>141875</v>
      </c>
      <c r="H21" s="28">
        <v>181250</v>
      </c>
    </row>
    <row r="22" spans="1:8" ht="30" x14ac:dyDescent="0.25">
      <c r="A22" s="71">
        <f t="shared" si="0"/>
        <v>21</v>
      </c>
      <c r="B22" s="27" t="s">
        <v>168</v>
      </c>
      <c r="C22" s="27" t="s">
        <v>47</v>
      </c>
      <c r="D22" s="27" t="s">
        <v>120</v>
      </c>
      <c r="E22" s="27" t="s">
        <v>49</v>
      </c>
      <c r="F22" s="28">
        <v>102813</v>
      </c>
      <c r="G22" s="28">
        <v>138125</v>
      </c>
      <c r="H22" s="28">
        <v>173750</v>
      </c>
    </row>
    <row r="23" spans="1:8" ht="30" x14ac:dyDescent="0.25">
      <c r="A23" s="71">
        <f t="shared" si="0"/>
        <v>22</v>
      </c>
      <c r="B23" s="27" t="s">
        <v>173</v>
      </c>
      <c r="C23" s="27" t="s">
        <v>47</v>
      </c>
      <c r="D23" s="27" t="s">
        <v>120</v>
      </c>
      <c r="E23" s="27" t="s">
        <v>49</v>
      </c>
      <c r="F23" s="28">
        <v>101500</v>
      </c>
      <c r="G23" s="28">
        <v>135500</v>
      </c>
      <c r="H23" s="28">
        <v>168500</v>
      </c>
    </row>
    <row r="24" spans="1:8" ht="30" x14ac:dyDescent="0.25">
      <c r="A24" s="71">
        <f t="shared" si="0"/>
        <v>23</v>
      </c>
      <c r="B24" s="27" t="s">
        <v>178</v>
      </c>
      <c r="C24" s="27" t="s">
        <v>47</v>
      </c>
      <c r="D24" s="27" t="s">
        <v>48</v>
      </c>
      <c r="E24" s="27" t="s">
        <v>49</v>
      </c>
      <c r="F24" s="28">
        <v>105250</v>
      </c>
      <c r="G24" s="28">
        <v>143000</v>
      </c>
      <c r="H24" s="28">
        <v>183500</v>
      </c>
    </row>
    <row r="25" spans="1:8" ht="30" x14ac:dyDescent="0.25">
      <c r="A25" s="71">
        <f t="shared" si="0"/>
        <v>24</v>
      </c>
      <c r="B25" s="27" t="s">
        <v>182</v>
      </c>
      <c r="C25" s="27" t="s">
        <v>47</v>
      </c>
      <c r="D25" s="27" t="s">
        <v>81</v>
      </c>
      <c r="E25" s="27" t="s">
        <v>49</v>
      </c>
      <c r="F25" s="28">
        <v>101313</v>
      </c>
      <c r="G25" s="28">
        <v>135125</v>
      </c>
      <c r="H25" s="28">
        <v>167750</v>
      </c>
    </row>
    <row r="26" spans="1:8" ht="45" x14ac:dyDescent="0.25">
      <c r="A26" s="71">
        <f t="shared" si="0"/>
        <v>25</v>
      </c>
      <c r="B26" s="27" t="s">
        <v>186</v>
      </c>
      <c r="C26" s="27" t="s">
        <v>47</v>
      </c>
      <c r="D26" s="27" t="s">
        <v>88</v>
      </c>
      <c r="E26" s="27" t="s">
        <v>49</v>
      </c>
      <c r="F26" s="28">
        <v>104313</v>
      </c>
      <c r="G26" s="28">
        <v>141125</v>
      </c>
      <c r="H26" s="28">
        <v>179750</v>
      </c>
    </row>
    <row r="27" spans="1:8" ht="45" x14ac:dyDescent="0.25">
      <c r="A27" s="71">
        <f t="shared" si="0"/>
        <v>26</v>
      </c>
      <c r="B27" s="27" t="s">
        <v>190</v>
      </c>
      <c r="C27" s="27" t="s">
        <v>47</v>
      </c>
      <c r="D27" s="27" t="s">
        <v>192</v>
      </c>
      <c r="E27" s="27" t="s">
        <v>49</v>
      </c>
      <c r="F27" s="28">
        <v>110313</v>
      </c>
      <c r="G27" s="28">
        <v>153125</v>
      </c>
      <c r="H27" s="28">
        <v>203750</v>
      </c>
    </row>
    <row r="28" spans="1:8" ht="90" x14ac:dyDescent="0.25">
      <c r="A28" s="71">
        <f t="shared" si="0"/>
        <v>27</v>
      </c>
      <c r="B28" s="27" t="s">
        <v>195</v>
      </c>
      <c r="C28" s="27" t="s">
        <v>47</v>
      </c>
      <c r="D28" s="27" t="s">
        <v>197</v>
      </c>
      <c r="E28" s="27" t="s">
        <v>49</v>
      </c>
      <c r="F28" s="28">
        <v>101875</v>
      </c>
      <c r="G28" s="28">
        <v>136250</v>
      </c>
      <c r="H28" s="28">
        <v>170000</v>
      </c>
    </row>
    <row r="29" spans="1:8" ht="30" x14ac:dyDescent="0.25">
      <c r="A29" s="71">
        <f t="shared" si="0"/>
        <v>28</v>
      </c>
      <c r="B29" s="27" t="s">
        <v>200</v>
      </c>
      <c r="C29" s="27" t="s">
        <v>47</v>
      </c>
      <c r="D29" s="27" t="s">
        <v>202</v>
      </c>
      <c r="E29" s="27" t="s">
        <v>49</v>
      </c>
      <c r="F29" s="42">
        <v>103375</v>
      </c>
      <c r="G29" s="28">
        <v>139250</v>
      </c>
      <c r="H29" s="28">
        <v>176000</v>
      </c>
    </row>
    <row r="30" spans="1:8" ht="30" x14ac:dyDescent="0.25">
      <c r="A30" s="71">
        <f t="shared" si="0"/>
        <v>29</v>
      </c>
      <c r="B30" s="27" t="s">
        <v>205</v>
      </c>
      <c r="C30" s="27" t="s">
        <v>47</v>
      </c>
      <c r="D30" s="27" t="s">
        <v>48</v>
      </c>
      <c r="E30" s="27" t="s">
        <v>49</v>
      </c>
      <c r="F30" s="42">
        <v>105813</v>
      </c>
      <c r="G30" s="28">
        <v>144125</v>
      </c>
      <c r="H30" s="28">
        <v>185750</v>
      </c>
    </row>
    <row r="31" spans="1:8" ht="30" x14ac:dyDescent="0.25">
      <c r="A31" s="71">
        <f t="shared" si="0"/>
        <v>30</v>
      </c>
      <c r="B31" s="27" t="s">
        <v>209</v>
      </c>
      <c r="C31" s="27" t="s">
        <v>47</v>
      </c>
      <c r="D31" s="27" t="s">
        <v>211</v>
      </c>
      <c r="E31" s="27" t="s">
        <v>49</v>
      </c>
      <c r="F31" s="42">
        <v>100375</v>
      </c>
      <c r="G31" s="28">
        <v>133250</v>
      </c>
      <c r="H31" s="28">
        <v>164000</v>
      </c>
    </row>
    <row r="32" spans="1:8" ht="30" x14ac:dyDescent="0.25">
      <c r="A32" s="71">
        <f t="shared" si="0"/>
        <v>31</v>
      </c>
      <c r="B32" s="27" t="s">
        <v>214</v>
      </c>
      <c r="C32" s="27" t="s">
        <v>47</v>
      </c>
      <c r="D32" s="27" t="s">
        <v>216</v>
      </c>
      <c r="E32" s="27" t="s">
        <v>49</v>
      </c>
      <c r="F32" s="42">
        <v>107125</v>
      </c>
      <c r="G32" s="28">
        <v>146750</v>
      </c>
      <c r="H32" s="28">
        <v>191000</v>
      </c>
    </row>
    <row r="33" spans="1:8" ht="60" x14ac:dyDescent="0.25">
      <c r="A33" s="71">
        <f t="shared" si="0"/>
        <v>32</v>
      </c>
      <c r="B33" s="27" t="s">
        <v>219</v>
      </c>
      <c r="C33" s="27" t="s">
        <v>47</v>
      </c>
      <c r="D33" s="27" t="s">
        <v>48</v>
      </c>
      <c r="E33" s="27" t="s">
        <v>49</v>
      </c>
      <c r="F33" s="42">
        <v>103563</v>
      </c>
      <c r="G33" s="28">
        <v>139625</v>
      </c>
      <c r="H33" s="28">
        <v>176750</v>
      </c>
    </row>
    <row r="34" spans="1:8" ht="30" x14ac:dyDescent="0.25">
      <c r="A34" s="71">
        <f t="shared" si="0"/>
        <v>33</v>
      </c>
      <c r="B34" s="27" t="s">
        <v>223</v>
      </c>
      <c r="C34" s="27" t="s">
        <v>47</v>
      </c>
      <c r="D34" s="27" t="s">
        <v>48</v>
      </c>
      <c r="E34" s="27" t="s">
        <v>49</v>
      </c>
      <c r="F34" s="42">
        <v>105625</v>
      </c>
      <c r="G34" s="28">
        <v>143750</v>
      </c>
      <c r="H34" s="28">
        <v>185000</v>
      </c>
    </row>
    <row r="35" spans="1:8" ht="30" x14ac:dyDescent="0.25">
      <c r="A35" s="71">
        <f t="shared" si="0"/>
        <v>34</v>
      </c>
      <c r="B35" s="27" t="s">
        <v>227</v>
      </c>
      <c r="C35" s="27" t="s">
        <v>47</v>
      </c>
      <c r="D35" s="27" t="s">
        <v>229</v>
      </c>
      <c r="E35" s="27" t="s">
        <v>49</v>
      </c>
      <c r="F35" s="42">
        <v>105438</v>
      </c>
      <c r="G35" s="28">
        <v>143375</v>
      </c>
      <c r="H35" s="28">
        <v>184250</v>
      </c>
    </row>
    <row r="36" spans="1:8" ht="30" x14ac:dyDescent="0.25">
      <c r="A36" s="71">
        <f t="shared" si="0"/>
        <v>35</v>
      </c>
      <c r="B36" s="27" t="s">
        <v>232</v>
      </c>
      <c r="C36" s="27" t="s">
        <v>47</v>
      </c>
      <c r="D36" s="27" t="s">
        <v>144</v>
      </c>
      <c r="E36" s="27" t="s">
        <v>49</v>
      </c>
      <c r="F36" s="42">
        <v>103375</v>
      </c>
      <c r="G36" s="28">
        <v>139250</v>
      </c>
      <c r="H36" s="28">
        <v>176000</v>
      </c>
    </row>
    <row r="37" spans="1:8" ht="30" x14ac:dyDescent="0.25">
      <c r="A37" s="71">
        <f t="shared" si="0"/>
        <v>36</v>
      </c>
      <c r="B37" s="27" t="s">
        <v>236</v>
      </c>
      <c r="C37" s="27" t="s">
        <v>47</v>
      </c>
      <c r="D37" s="27" t="s">
        <v>229</v>
      </c>
      <c r="E37" s="27" t="s">
        <v>49</v>
      </c>
      <c r="F37" s="42">
        <v>105250</v>
      </c>
      <c r="G37" s="28">
        <v>143000</v>
      </c>
      <c r="H37" s="28">
        <v>183500</v>
      </c>
    </row>
    <row r="38" spans="1:8" ht="30" x14ac:dyDescent="0.25">
      <c r="A38" s="71">
        <f t="shared" si="0"/>
        <v>37</v>
      </c>
      <c r="B38" s="27" t="s">
        <v>240</v>
      </c>
      <c r="C38" s="27" t="s">
        <v>47</v>
      </c>
      <c r="D38" s="27" t="s">
        <v>48</v>
      </c>
      <c r="E38" s="27" t="s">
        <v>49</v>
      </c>
      <c r="F38" s="42">
        <v>105063</v>
      </c>
      <c r="G38" s="28">
        <v>142625</v>
      </c>
      <c r="H38" s="28">
        <v>182750</v>
      </c>
    </row>
    <row r="39" spans="1:8" ht="30" x14ac:dyDescent="0.25">
      <c r="A39" s="71">
        <f t="shared" si="0"/>
        <v>38</v>
      </c>
      <c r="B39" s="27" t="s">
        <v>244</v>
      </c>
      <c r="C39" s="27" t="s">
        <v>47</v>
      </c>
      <c r="D39" s="27" t="s">
        <v>48</v>
      </c>
      <c r="E39" s="27" t="s">
        <v>49</v>
      </c>
      <c r="F39" s="42">
        <v>104875</v>
      </c>
      <c r="G39" s="28">
        <v>142250</v>
      </c>
      <c r="H39" s="28">
        <v>182000</v>
      </c>
    </row>
    <row r="40" spans="1:8" ht="30" x14ac:dyDescent="0.25">
      <c r="A40" s="71">
        <f t="shared" si="0"/>
        <v>39</v>
      </c>
      <c r="B40" s="27" t="s">
        <v>248</v>
      </c>
      <c r="C40" s="27" t="s">
        <v>47</v>
      </c>
      <c r="D40" s="27" t="s">
        <v>48</v>
      </c>
      <c r="E40" s="27" t="s">
        <v>49</v>
      </c>
      <c r="F40" s="42">
        <v>105813</v>
      </c>
      <c r="G40" s="28">
        <v>144125</v>
      </c>
      <c r="H40" s="28">
        <v>185750</v>
      </c>
    </row>
    <row r="41" spans="1:8" ht="90" x14ac:dyDescent="0.25">
      <c r="A41" s="71">
        <f t="shared" si="0"/>
        <v>40</v>
      </c>
      <c r="B41" s="27" t="s">
        <v>252</v>
      </c>
      <c r="C41" s="27" t="s">
        <v>47</v>
      </c>
      <c r="D41" s="27" t="s">
        <v>68</v>
      </c>
      <c r="E41" s="27" t="s">
        <v>49</v>
      </c>
      <c r="F41" s="42">
        <v>105438</v>
      </c>
      <c r="G41" s="28">
        <v>143375</v>
      </c>
      <c r="H41" s="28">
        <v>184250</v>
      </c>
    </row>
    <row r="42" spans="1:8" ht="30" x14ac:dyDescent="0.25">
      <c r="A42" s="71">
        <f t="shared" si="0"/>
        <v>41</v>
      </c>
      <c r="B42" s="27" t="s">
        <v>256</v>
      </c>
      <c r="C42" s="27" t="s">
        <v>47</v>
      </c>
      <c r="D42" s="27" t="s">
        <v>258</v>
      </c>
      <c r="E42" s="27" t="s">
        <v>49</v>
      </c>
      <c r="F42" s="42">
        <v>106000</v>
      </c>
      <c r="G42" s="28">
        <v>144500</v>
      </c>
      <c r="H42" s="28">
        <v>186500</v>
      </c>
    </row>
    <row r="43" spans="1:8" ht="30" x14ac:dyDescent="0.25">
      <c r="A43" s="71">
        <f t="shared" si="0"/>
        <v>42</v>
      </c>
      <c r="B43" s="27" t="s">
        <v>261</v>
      </c>
      <c r="C43" s="27" t="s">
        <v>47</v>
      </c>
      <c r="D43" s="27" t="s">
        <v>68</v>
      </c>
      <c r="E43" s="27" t="s">
        <v>49</v>
      </c>
      <c r="F43" s="42">
        <v>105438</v>
      </c>
      <c r="G43" s="28">
        <v>143375</v>
      </c>
      <c r="H43" s="28">
        <v>184250</v>
      </c>
    </row>
    <row r="44" spans="1:8" ht="45" x14ac:dyDescent="0.25">
      <c r="A44" s="71">
        <f t="shared" si="0"/>
        <v>43</v>
      </c>
      <c r="B44" s="27" t="s">
        <v>265</v>
      </c>
      <c r="C44" s="27" t="s">
        <v>47</v>
      </c>
      <c r="D44" s="27" t="s">
        <v>68</v>
      </c>
      <c r="E44" s="27" t="s">
        <v>49</v>
      </c>
      <c r="F44" s="42">
        <v>105438</v>
      </c>
      <c r="G44" s="28">
        <v>143375</v>
      </c>
      <c r="H44" s="28">
        <v>184250</v>
      </c>
    </row>
    <row r="45" spans="1:8" ht="30" x14ac:dyDescent="0.25">
      <c r="A45" s="71">
        <f t="shared" si="0"/>
        <v>44</v>
      </c>
      <c r="B45" s="27" t="s">
        <v>269</v>
      </c>
      <c r="C45" s="27" t="s">
        <v>47</v>
      </c>
      <c r="D45" s="27" t="s">
        <v>48</v>
      </c>
      <c r="E45" s="27" t="s">
        <v>49</v>
      </c>
      <c r="F45" s="42">
        <v>105438</v>
      </c>
      <c r="G45" s="28">
        <v>143375</v>
      </c>
      <c r="H45" s="28">
        <v>184250</v>
      </c>
    </row>
    <row r="46" spans="1:8" ht="45" x14ac:dyDescent="0.25">
      <c r="A46" s="71">
        <f t="shared" si="0"/>
        <v>45</v>
      </c>
      <c r="B46" s="27" t="s">
        <v>272</v>
      </c>
      <c r="C46" s="27" t="s">
        <v>47</v>
      </c>
      <c r="D46" s="27" t="s">
        <v>48</v>
      </c>
      <c r="E46" s="27" t="s">
        <v>49</v>
      </c>
      <c r="F46" s="42">
        <v>106000</v>
      </c>
      <c r="G46" s="28">
        <v>144500</v>
      </c>
      <c r="H46" s="28">
        <v>186500</v>
      </c>
    </row>
    <row r="47" spans="1:8" ht="30" x14ac:dyDescent="0.25">
      <c r="A47" s="71">
        <f t="shared" si="0"/>
        <v>46</v>
      </c>
      <c r="B47" s="27" t="s">
        <v>276</v>
      </c>
      <c r="C47" s="27" t="s">
        <v>47</v>
      </c>
      <c r="D47" s="27" t="s">
        <v>48</v>
      </c>
      <c r="E47" s="27" t="s">
        <v>49</v>
      </c>
      <c r="F47" s="42">
        <v>105813</v>
      </c>
      <c r="G47" s="28">
        <v>144125</v>
      </c>
      <c r="H47" s="28">
        <v>185750</v>
      </c>
    </row>
    <row r="48" spans="1:8" ht="30" x14ac:dyDescent="0.25">
      <c r="A48" s="71">
        <f t="shared" si="0"/>
        <v>47</v>
      </c>
      <c r="B48" s="27" t="s">
        <v>280</v>
      </c>
      <c r="C48" s="27" t="s">
        <v>47</v>
      </c>
      <c r="D48" s="27" t="s">
        <v>48</v>
      </c>
      <c r="E48" s="27" t="s">
        <v>49</v>
      </c>
      <c r="F48" s="42">
        <v>105438</v>
      </c>
      <c r="G48" s="28">
        <v>143375</v>
      </c>
      <c r="H48" s="28">
        <v>184250</v>
      </c>
    </row>
    <row r="49" spans="1:8" ht="30" x14ac:dyDescent="0.25">
      <c r="A49" s="71">
        <f t="shared" si="0"/>
        <v>48</v>
      </c>
      <c r="B49" s="27" t="s">
        <v>284</v>
      </c>
      <c r="C49" s="27" t="s">
        <v>47</v>
      </c>
      <c r="D49" s="27" t="s">
        <v>286</v>
      </c>
      <c r="E49" s="27" t="s">
        <v>49</v>
      </c>
      <c r="F49" s="42">
        <v>100188</v>
      </c>
      <c r="G49" s="28">
        <v>132875</v>
      </c>
      <c r="H49" s="28">
        <v>163250</v>
      </c>
    </row>
    <row r="50" spans="1:8" ht="30" x14ac:dyDescent="0.25">
      <c r="A50" s="71">
        <f t="shared" si="0"/>
        <v>49</v>
      </c>
      <c r="B50" s="27" t="s">
        <v>289</v>
      </c>
      <c r="C50" s="27" t="s">
        <v>47</v>
      </c>
      <c r="D50" s="27" t="s">
        <v>291</v>
      </c>
      <c r="E50" s="27" t="s">
        <v>49</v>
      </c>
      <c r="F50" s="42">
        <v>106188</v>
      </c>
      <c r="G50" s="28">
        <v>144875</v>
      </c>
      <c r="H50" s="28">
        <v>187250</v>
      </c>
    </row>
    <row r="51" spans="1:8" ht="30" x14ac:dyDescent="0.25">
      <c r="A51" s="71">
        <f t="shared" si="0"/>
        <v>50</v>
      </c>
      <c r="B51" s="27" t="s">
        <v>294</v>
      </c>
      <c r="C51" s="27" t="s">
        <v>47</v>
      </c>
      <c r="D51" s="27" t="s">
        <v>48</v>
      </c>
      <c r="E51" s="27" t="s">
        <v>49</v>
      </c>
      <c r="F51" s="42">
        <v>103938</v>
      </c>
      <c r="G51" s="28">
        <v>140375</v>
      </c>
      <c r="H51" s="28">
        <v>178250</v>
      </c>
    </row>
    <row r="52" spans="1:8" ht="30" x14ac:dyDescent="0.25">
      <c r="A52" s="71">
        <f t="shared" si="0"/>
        <v>51</v>
      </c>
      <c r="B52" s="27" t="s">
        <v>298</v>
      </c>
      <c r="C52" s="27" t="s">
        <v>47</v>
      </c>
      <c r="D52" s="27" t="s">
        <v>216</v>
      </c>
      <c r="E52" s="27" t="s">
        <v>49</v>
      </c>
      <c r="F52" s="42">
        <v>106750</v>
      </c>
      <c r="G52" s="28">
        <v>146000</v>
      </c>
      <c r="H52" s="28">
        <v>189500</v>
      </c>
    </row>
    <row r="53" spans="1:8" ht="30" x14ac:dyDescent="0.25">
      <c r="A53" s="71">
        <f t="shared" si="0"/>
        <v>52</v>
      </c>
      <c r="B53" s="27" t="s">
        <v>302</v>
      </c>
      <c r="C53" s="27" t="s">
        <v>47</v>
      </c>
      <c r="D53" s="27" t="s">
        <v>48</v>
      </c>
      <c r="E53" s="27" t="s">
        <v>49</v>
      </c>
      <c r="F53" s="42">
        <v>105438</v>
      </c>
      <c r="G53" s="28">
        <v>143375</v>
      </c>
      <c r="H53" s="28">
        <v>184250</v>
      </c>
    </row>
    <row r="54" spans="1:8" ht="30" x14ac:dyDescent="0.25">
      <c r="A54" s="71">
        <f t="shared" si="0"/>
        <v>53</v>
      </c>
      <c r="B54" s="27" t="s">
        <v>306</v>
      </c>
      <c r="C54" s="27" t="s">
        <v>47</v>
      </c>
      <c r="D54" s="27" t="s">
        <v>48</v>
      </c>
      <c r="E54" s="27" t="s">
        <v>49</v>
      </c>
      <c r="F54" s="42">
        <v>105813</v>
      </c>
      <c r="G54" s="28">
        <v>144125</v>
      </c>
      <c r="H54" s="28">
        <v>185750</v>
      </c>
    </row>
    <row r="55" spans="1:8" ht="30" x14ac:dyDescent="0.25">
      <c r="A55" s="71">
        <f t="shared" si="0"/>
        <v>54</v>
      </c>
      <c r="B55" s="27" t="s">
        <v>310</v>
      </c>
      <c r="C55" s="27" t="s">
        <v>47</v>
      </c>
      <c r="D55" s="27" t="s">
        <v>48</v>
      </c>
      <c r="E55" s="27" t="s">
        <v>49</v>
      </c>
      <c r="F55" s="42">
        <v>100188</v>
      </c>
      <c r="G55" s="28">
        <v>132875</v>
      </c>
      <c r="H55" s="28">
        <v>163250</v>
      </c>
    </row>
    <row r="56" spans="1:8" ht="30" x14ac:dyDescent="0.25">
      <c r="A56" s="71">
        <f t="shared" si="0"/>
        <v>55</v>
      </c>
      <c r="B56" s="27" t="s">
        <v>313</v>
      </c>
      <c r="C56" s="27" t="s">
        <v>47</v>
      </c>
      <c r="D56" s="27" t="s">
        <v>48</v>
      </c>
      <c r="E56" s="27" t="s">
        <v>49</v>
      </c>
      <c r="F56" s="42">
        <v>105813</v>
      </c>
      <c r="G56" s="28">
        <v>144125</v>
      </c>
      <c r="H56" s="28">
        <v>185750</v>
      </c>
    </row>
    <row r="57" spans="1:8" ht="30" x14ac:dyDescent="0.25">
      <c r="A57" s="71">
        <f t="shared" si="0"/>
        <v>56</v>
      </c>
      <c r="B57" s="27" t="s">
        <v>316</v>
      </c>
      <c r="C57" s="27" t="s">
        <v>47</v>
      </c>
      <c r="D57" s="27" t="s">
        <v>48</v>
      </c>
      <c r="E57" s="27" t="s">
        <v>49</v>
      </c>
      <c r="F57" s="42">
        <v>104125</v>
      </c>
      <c r="G57" s="28">
        <v>140750</v>
      </c>
      <c r="H57" s="28">
        <v>179000</v>
      </c>
    </row>
    <row r="58" spans="1:8" ht="30" x14ac:dyDescent="0.25">
      <c r="A58" s="71">
        <f t="shared" si="0"/>
        <v>57</v>
      </c>
      <c r="B58" s="27" t="s">
        <v>320</v>
      </c>
      <c r="C58" s="27" t="s">
        <v>47</v>
      </c>
      <c r="D58" s="27" t="s">
        <v>48</v>
      </c>
      <c r="E58" s="27" t="s">
        <v>49</v>
      </c>
      <c r="F58" s="42">
        <v>104688</v>
      </c>
      <c r="G58" s="28">
        <v>141875</v>
      </c>
      <c r="H58" s="28">
        <v>181250</v>
      </c>
    </row>
    <row r="59" spans="1:8" ht="45" x14ac:dyDescent="0.25">
      <c r="A59" s="71">
        <f t="shared" si="0"/>
        <v>58</v>
      </c>
      <c r="B59" s="27" t="s">
        <v>323</v>
      </c>
      <c r="C59" s="27" t="s">
        <v>47</v>
      </c>
      <c r="D59" s="27" t="s">
        <v>164</v>
      </c>
      <c r="E59" s="27" t="s">
        <v>49</v>
      </c>
      <c r="F59" s="42">
        <v>102063</v>
      </c>
      <c r="G59" s="28">
        <v>136625</v>
      </c>
      <c r="H59" s="28">
        <v>170750</v>
      </c>
    </row>
    <row r="60" spans="1:8" ht="45" x14ac:dyDescent="0.25">
      <c r="A60" s="71">
        <f t="shared" si="0"/>
        <v>59</v>
      </c>
      <c r="B60" s="27" t="s">
        <v>327</v>
      </c>
      <c r="C60" s="27" t="s">
        <v>47</v>
      </c>
      <c r="D60" s="27" t="s">
        <v>144</v>
      </c>
      <c r="E60" s="27" t="s">
        <v>49</v>
      </c>
      <c r="F60" s="42">
        <v>103000</v>
      </c>
      <c r="G60" s="28">
        <v>138500</v>
      </c>
      <c r="H60" s="28">
        <v>174500</v>
      </c>
    </row>
    <row r="61" spans="1:8" ht="45" x14ac:dyDescent="0.25">
      <c r="A61" s="71">
        <f t="shared" si="0"/>
        <v>60</v>
      </c>
      <c r="B61" s="27" t="s">
        <v>331</v>
      </c>
      <c r="C61" s="27" t="s">
        <v>47</v>
      </c>
      <c r="D61" s="27" t="s">
        <v>95</v>
      </c>
      <c r="E61" s="27" t="s">
        <v>49</v>
      </c>
      <c r="F61" s="42">
        <v>106563</v>
      </c>
      <c r="G61" s="28">
        <v>145625</v>
      </c>
      <c r="H61" s="28">
        <v>188750</v>
      </c>
    </row>
    <row r="62" spans="1:8" ht="45" x14ac:dyDescent="0.25">
      <c r="A62" s="71">
        <f t="shared" si="0"/>
        <v>61</v>
      </c>
      <c r="B62" s="27" t="s">
        <v>336</v>
      </c>
      <c r="C62" s="27" t="s">
        <v>47</v>
      </c>
      <c r="D62" s="27" t="s">
        <v>338</v>
      </c>
      <c r="E62" s="27" t="s">
        <v>49</v>
      </c>
      <c r="F62" s="42">
        <v>108625</v>
      </c>
      <c r="G62" s="28">
        <v>149750</v>
      </c>
      <c r="H62" s="28">
        <v>197000</v>
      </c>
    </row>
    <row r="63" spans="1:8" ht="30" x14ac:dyDescent="0.25">
      <c r="A63" s="71">
        <f t="shared" si="0"/>
        <v>62</v>
      </c>
      <c r="B63" s="27" t="s">
        <v>339</v>
      </c>
      <c r="C63" s="27" t="s">
        <v>47</v>
      </c>
      <c r="D63" s="27" t="s">
        <v>286</v>
      </c>
      <c r="E63" s="27" t="s">
        <v>49</v>
      </c>
      <c r="F63" s="42">
        <v>100938</v>
      </c>
      <c r="G63" s="28">
        <v>134375</v>
      </c>
      <c r="H63" s="28">
        <v>166250</v>
      </c>
    </row>
    <row r="64" spans="1:8" ht="30" x14ac:dyDescent="0.25">
      <c r="A64" s="71">
        <f t="shared" si="0"/>
        <v>63</v>
      </c>
      <c r="B64" s="27" t="s">
        <v>341</v>
      </c>
      <c r="C64" s="27" t="s">
        <v>47</v>
      </c>
      <c r="D64" s="27" t="s">
        <v>68</v>
      </c>
      <c r="E64" s="27" t="s">
        <v>49</v>
      </c>
      <c r="F64" s="42">
        <v>106188</v>
      </c>
      <c r="G64" s="28">
        <v>144875</v>
      </c>
      <c r="H64" s="28">
        <v>187250</v>
      </c>
    </row>
    <row r="65" spans="1:8" ht="30" x14ac:dyDescent="0.25">
      <c r="A65" s="71">
        <f t="shared" si="0"/>
        <v>64</v>
      </c>
      <c r="B65" s="27" t="s">
        <v>343</v>
      </c>
      <c r="C65" s="27" t="s">
        <v>47</v>
      </c>
      <c r="D65" s="27" t="s">
        <v>48</v>
      </c>
      <c r="E65" s="27" t="s">
        <v>49</v>
      </c>
      <c r="F65" s="42">
        <v>106000</v>
      </c>
      <c r="G65" s="28">
        <v>144500</v>
      </c>
      <c r="H65" s="28">
        <v>186500</v>
      </c>
    </row>
    <row r="66" spans="1:8" ht="30" x14ac:dyDescent="0.25">
      <c r="A66" s="71">
        <f t="shared" si="0"/>
        <v>65</v>
      </c>
      <c r="B66" s="27" t="s">
        <v>344</v>
      </c>
      <c r="C66" s="27" t="s">
        <v>47</v>
      </c>
      <c r="D66" s="27" t="s">
        <v>346</v>
      </c>
      <c r="E66" s="27" t="s">
        <v>49</v>
      </c>
      <c r="F66" s="42">
        <v>112750</v>
      </c>
      <c r="G66" s="28">
        <v>158000</v>
      </c>
      <c r="H66" s="28">
        <v>213500</v>
      </c>
    </row>
    <row r="67" spans="1:8" ht="45" x14ac:dyDescent="0.25">
      <c r="A67" s="71">
        <f t="shared" si="0"/>
        <v>66</v>
      </c>
      <c r="B67" s="27" t="s">
        <v>347</v>
      </c>
      <c r="C67" s="27" t="s">
        <v>47</v>
      </c>
      <c r="D67" s="27" t="s">
        <v>349</v>
      </c>
      <c r="E67" s="27" t="s">
        <v>49</v>
      </c>
      <c r="F67" s="42">
        <v>105438</v>
      </c>
      <c r="G67" s="28">
        <v>143375</v>
      </c>
      <c r="H67" s="28">
        <v>184250</v>
      </c>
    </row>
    <row r="68" spans="1:8" ht="30" x14ac:dyDescent="0.25">
      <c r="A68" s="71">
        <f t="shared" ref="A68:A129" si="1">A67+1</f>
        <v>67</v>
      </c>
      <c r="B68" s="27" t="s">
        <v>352</v>
      </c>
      <c r="C68" s="27" t="s">
        <v>47</v>
      </c>
      <c r="D68" s="27" t="s">
        <v>354</v>
      </c>
      <c r="E68" s="27" t="s">
        <v>49</v>
      </c>
      <c r="F68" s="42">
        <v>99063</v>
      </c>
      <c r="G68" s="28">
        <v>130625</v>
      </c>
      <c r="H68" s="28">
        <v>158750</v>
      </c>
    </row>
    <row r="69" spans="1:8" ht="30" x14ac:dyDescent="0.25">
      <c r="A69" s="71">
        <f t="shared" si="1"/>
        <v>68</v>
      </c>
      <c r="B69" s="27" t="s">
        <v>356</v>
      </c>
      <c r="C69" s="27" t="s">
        <v>47</v>
      </c>
      <c r="D69" s="27" t="s">
        <v>349</v>
      </c>
      <c r="E69" s="27" t="s">
        <v>49</v>
      </c>
      <c r="F69" s="42">
        <v>105438</v>
      </c>
      <c r="G69" s="28">
        <v>143375</v>
      </c>
      <c r="H69" s="28">
        <v>184250</v>
      </c>
    </row>
    <row r="70" spans="1:8" ht="30" x14ac:dyDescent="0.25">
      <c r="A70" s="71">
        <f t="shared" si="1"/>
        <v>69</v>
      </c>
      <c r="B70" s="27" t="s">
        <v>359</v>
      </c>
      <c r="C70" s="27" t="s">
        <v>47</v>
      </c>
      <c r="D70" s="27" t="s">
        <v>48</v>
      </c>
      <c r="E70" s="27" t="s">
        <v>49</v>
      </c>
      <c r="F70" s="42">
        <v>104125</v>
      </c>
      <c r="G70" s="28">
        <v>140750</v>
      </c>
      <c r="H70" s="28">
        <v>179000</v>
      </c>
    </row>
    <row r="71" spans="1:8" ht="30" x14ac:dyDescent="0.25">
      <c r="A71" s="71">
        <f t="shared" si="1"/>
        <v>70</v>
      </c>
      <c r="B71" s="27" t="s">
        <v>362</v>
      </c>
      <c r="C71" s="27" t="s">
        <v>47</v>
      </c>
      <c r="D71" s="27" t="s">
        <v>81</v>
      </c>
      <c r="E71" s="27" t="s">
        <v>49</v>
      </c>
      <c r="F71" s="42">
        <v>104688</v>
      </c>
      <c r="G71" s="28">
        <v>141875</v>
      </c>
      <c r="H71" s="28">
        <v>181250</v>
      </c>
    </row>
    <row r="72" spans="1:8" ht="30" x14ac:dyDescent="0.25">
      <c r="A72" s="71">
        <f t="shared" si="1"/>
        <v>71</v>
      </c>
      <c r="B72" s="27" t="s">
        <v>365</v>
      </c>
      <c r="C72" s="27" t="s">
        <v>47</v>
      </c>
      <c r="D72" s="27" t="s">
        <v>150</v>
      </c>
      <c r="E72" s="27" t="s">
        <v>49</v>
      </c>
      <c r="F72" s="42">
        <v>100938</v>
      </c>
      <c r="G72" s="28">
        <v>134375</v>
      </c>
      <c r="H72" s="28">
        <v>166250</v>
      </c>
    </row>
    <row r="73" spans="1:8" ht="30" x14ac:dyDescent="0.25">
      <c r="A73" s="71">
        <f t="shared" si="1"/>
        <v>72</v>
      </c>
      <c r="B73" s="27" t="s">
        <v>368</v>
      </c>
      <c r="C73" s="27" t="s">
        <v>47</v>
      </c>
      <c r="D73" s="27" t="s">
        <v>68</v>
      </c>
      <c r="E73" s="27" t="s">
        <v>49</v>
      </c>
      <c r="F73" s="42">
        <v>105250</v>
      </c>
      <c r="G73" s="28">
        <v>143000</v>
      </c>
      <c r="H73" s="28">
        <v>183500</v>
      </c>
    </row>
    <row r="74" spans="1:8" ht="30" x14ac:dyDescent="0.25">
      <c r="A74" s="71">
        <f t="shared" si="1"/>
        <v>73</v>
      </c>
      <c r="B74" s="27" t="s">
        <v>371</v>
      </c>
      <c r="C74" s="27" t="s">
        <v>47</v>
      </c>
      <c r="D74" s="27" t="s">
        <v>74</v>
      </c>
      <c r="E74" s="27" t="s">
        <v>49</v>
      </c>
      <c r="F74" s="42">
        <v>109750</v>
      </c>
      <c r="G74" s="28">
        <v>152000</v>
      </c>
      <c r="H74" s="28">
        <v>201500</v>
      </c>
    </row>
    <row r="75" spans="1:8" ht="45" x14ac:dyDescent="0.25">
      <c r="A75" s="71">
        <f t="shared" si="1"/>
        <v>74</v>
      </c>
      <c r="B75" s="27" t="s">
        <v>374</v>
      </c>
      <c r="C75" s="27" t="s">
        <v>47</v>
      </c>
      <c r="D75" s="27" t="s">
        <v>376</v>
      </c>
      <c r="E75" s="27" t="s">
        <v>49</v>
      </c>
      <c r="F75" s="42">
        <v>105438</v>
      </c>
      <c r="G75" s="28">
        <v>143375</v>
      </c>
      <c r="H75" s="28">
        <v>184250</v>
      </c>
    </row>
    <row r="76" spans="1:8" ht="45" x14ac:dyDescent="0.25">
      <c r="A76" s="71">
        <f t="shared" si="1"/>
        <v>75</v>
      </c>
      <c r="B76" s="27" t="s">
        <v>378</v>
      </c>
      <c r="C76" s="27" t="s">
        <v>47</v>
      </c>
      <c r="D76" s="27" t="s">
        <v>138</v>
      </c>
      <c r="E76" s="27" t="s">
        <v>49</v>
      </c>
      <c r="F76" s="42">
        <v>100563</v>
      </c>
      <c r="G76" s="28">
        <v>133625</v>
      </c>
      <c r="H76" s="28">
        <v>164750</v>
      </c>
    </row>
    <row r="77" spans="1:8" ht="30" x14ac:dyDescent="0.25">
      <c r="A77" s="71">
        <f t="shared" si="1"/>
        <v>76</v>
      </c>
      <c r="B77" s="27" t="s">
        <v>381</v>
      </c>
      <c r="C77" s="27" t="s">
        <v>47</v>
      </c>
      <c r="D77" s="27" t="s">
        <v>382</v>
      </c>
      <c r="E77" s="27" t="s">
        <v>49</v>
      </c>
      <c r="F77" s="42">
        <v>100188</v>
      </c>
      <c r="G77" s="28">
        <v>132875</v>
      </c>
      <c r="H77" s="28">
        <v>163250</v>
      </c>
    </row>
    <row r="78" spans="1:8" ht="30" x14ac:dyDescent="0.25">
      <c r="A78" s="71">
        <f t="shared" si="1"/>
        <v>77</v>
      </c>
      <c r="B78" s="27" t="s">
        <v>384</v>
      </c>
      <c r="C78" s="27" t="s">
        <v>47</v>
      </c>
      <c r="D78" s="27" t="s">
        <v>101</v>
      </c>
      <c r="E78" s="27" t="s">
        <v>49</v>
      </c>
      <c r="F78" s="42">
        <v>100188</v>
      </c>
      <c r="G78" s="28">
        <v>132875</v>
      </c>
      <c r="H78" s="28">
        <v>163250</v>
      </c>
    </row>
    <row r="79" spans="1:8" ht="30" x14ac:dyDescent="0.25">
      <c r="A79" s="71">
        <f t="shared" si="1"/>
        <v>78</v>
      </c>
      <c r="B79" s="27" t="s">
        <v>386</v>
      </c>
      <c r="C79" s="27" t="s">
        <v>47</v>
      </c>
      <c r="D79" s="27" t="s">
        <v>48</v>
      </c>
      <c r="E79" s="27" t="s">
        <v>49</v>
      </c>
      <c r="F79" s="42">
        <v>104688</v>
      </c>
      <c r="G79" s="28">
        <v>141875</v>
      </c>
      <c r="H79" s="28">
        <v>181250</v>
      </c>
    </row>
    <row r="80" spans="1:8" ht="30" x14ac:dyDescent="0.25">
      <c r="A80" s="71">
        <f t="shared" si="1"/>
        <v>79</v>
      </c>
      <c r="B80" s="27" t="s">
        <v>388</v>
      </c>
      <c r="C80" s="27" t="s">
        <v>47</v>
      </c>
      <c r="D80" s="27" t="s">
        <v>48</v>
      </c>
      <c r="E80" s="27" t="s">
        <v>49</v>
      </c>
      <c r="F80" s="42">
        <v>103000</v>
      </c>
      <c r="G80" s="28">
        <v>138500</v>
      </c>
      <c r="H80" s="28">
        <v>174500</v>
      </c>
    </row>
    <row r="81" spans="1:8" ht="30" x14ac:dyDescent="0.25">
      <c r="A81" s="71">
        <f t="shared" si="1"/>
        <v>80</v>
      </c>
      <c r="B81" s="27" t="s">
        <v>390</v>
      </c>
      <c r="C81" s="27" t="s">
        <v>47</v>
      </c>
      <c r="D81" s="27" t="s">
        <v>48</v>
      </c>
      <c r="E81" s="27" t="s">
        <v>49</v>
      </c>
      <c r="F81" s="42">
        <v>103563</v>
      </c>
      <c r="G81" s="28">
        <v>139625</v>
      </c>
      <c r="H81" s="28">
        <v>176750</v>
      </c>
    </row>
    <row r="82" spans="1:8" ht="30" x14ac:dyDescent="0.25">
      <c r="A82" s="71">
        <f t="shared" si="1"/>
        <v>81</v>
      </c>
      <c r="B82" s="27" t="s">
        <v>392</v>
      </c>
      <c r="C82" s="27" t="s">
        <v>47</v>
      </c>
      <c r="D82" s="27" t="s">
        <v>48</v>
      </c>
      <c r="E82" s="27" t="s">
        <v>49</v>
      </c>
      <c r="F82" s="42">
        <v>103750</v>
      </c>
      <c r="G82" s="28">
        <v>140000</v>
      </c>
      <c r="H82" s="28">
        <v>177500</v>
      </c>
    </row>
    <row r="83" spans="1:8" ht="30" x14ac:dyDescent="0.25">
      <c r="A83" s="71">
        <f t="shared" si="1"/>
        <v>82</v>
      </c>
      <c r="B83" s="27" t="s">
        <v>394</v>
      </c>
      <c r="C83" s="27" t="s">
        <v>47</v>
      </c>
      <c r="D83" s="27" t="s">
        <v>291</v>
      </c>
      <c r="E83" s="27" t="s">
        <v>49</v>
      </c>
      <c r="F83" s="42">
        <v>106938</v>
      </c>
      <c r="G83" s="28">
        <v>146375</v>
      </c>
      <c r="H83" s="28">
        <v>190250</v>
      </c>
    </row>
    <row r="84" spans="1:8" ht="30" x14ac:dyDescent="0.25">
      <c r="A84" s="71">
        <f t="shared" si="1"/>
        <v>83</v>
      </c>
      <c r="B84" s="27" t="s">
        <v>396</v>
      </c>
      <c r="C84" s="27" t="s">
        <v>47</v>
      </c>
      <c r="D84" s="27" t="s">
        <v>48</v>
      </c>
      <c r="E84" s="27" t="s">
        <v>49</v>
      </c>
      <c r="F84" s="42">
        <v>104875</v>
      </c>
      <c r="G84" s="28">
        <v>142250</v>
      </c>
      <c r="H84" s="28">
        <v>182000</v>
      </c>
    </row>
    <row r="85" spans="1:8" ht="30" x14ac:dyDescent="0.25">
      <c r="A85" s="71">
        <f t="shared" si="1"/>
        <v>84</v>
      </c>
      <c r="B85" s="27" t="s">
        <v>398</v>
      </c>
      <c r="C85" s="27" t="s">
        <v>47</v>
      </c>
      <c r="D85" s="27" t="s">
        <v>376</v>
      </c>
      <c r="E85" s="27" t="s">
        <v>49</v>
      </c>
      <c r="F85" s="42">
        <v>104688</v>
      </c>
      <c r="G85" s="28">
        <v>141875</v>
      </c>
      <c r="H85" s="28">
        <v>181250</v>
      </c>
    </row>
    <row r="86" spans="1:8" ht="170.1" customHeight="1" x14ac:dyDescent="0.25">
      <c r="A86" s="71">
        <f t="shared" si="1"/>
        <v>85</v>
      </c>
      <c r="B86" s="27" t="s">
        <v>400</v>
      </c>
      <c r="C86" s="27" t="s">
        <v>47</v>
      </c>
      <c r="D86" s="27" t="s">
        <v>197</v>
      </c>
      <c r="E86" s="27" t="s">
        <v>49</v>
      </c>
      <c r="F86" s="42">
        <v>103750</v>
      </c>
      <c r="G86" s="28">
        <v>140000</v>
      </c>
      <c r="H86" s="28">
        <v>177500</v>
      </c>
    </row>
    <row r="87" spans="1:8" ht="30" x14ac:dyDescent="0.25">
      <c r="A87" s="71">
        <f t="shared" si="1"/>
        <v>86</v>
      </c>
      <c r="B87" s="27" t="s">
        <v>402</v>
      </c>
      <c r="C87" s="27" t="s">
        <v>47</v>
      </c>
      <c r="D87" s="27" t="s">
        <v>202</v>
      </c>
      <c r="E87" s="27" t="s">
        <v>49</v>
      </c>
      <c r="F87" s="42">
        <v>109313</v>
      </c>
      <c r="G87" s="28">
        <v>146125</v>
      </c>
      <c r="H87" s="28">
        <v>184750</v>
      </c>
    </row>
    <row r="88" spans="1:8" ht="30" x14ac:dyDescent="0.25">
      <c r="A88" s="71">
        <f t="shared" si="1"/>
        <v>87</v>
      </c>
      <c r="B88" s="27" t="s">
        <v>404</v>
      </c>
      <c r="C88" s="27" t="s">
        <v>405</v>
      </c>
      <c r="D88" s="27" t="s">
        <v>406</v>
      </c>
      <c r="E88" s="27" t="s">
        <v>49</v>
      </c>
      <c r="F88" s="42">
        <v>129000</v>
      </c>
      <c r="G88" s="28">
        <v>173000</v>
      </c>
      <c r="H88" s="28">
        <v>222500</v>
      </c>
    </row>
    <row r="89" spans="1:8" ht="200.45" customHeight="1" x14ac:dyDescent="0.25">
      <c r="A89" s="71">
        <f t="shared" si="1"/>
        <v>88</v>
      </c>
      <c r="B89" s="27" t="s">
        <v>408</v>
      </c>
      <c r="C89" s="27" t="s">
        <v>405</v>
      </c>
      <c r="D89" s="27" t="s">
        <v>409</v>
      </c>
      <c r="E89" s="27" t="s">
        <v>49</v>
      </c>
      <c r="F89" s="42">
        <v>155625</v>
      </c>
      <c r="G89" s="28">
        <v>226250</v>
      </c>
      <c r="H89" s="28">
        <v>329000</v>
      </c>
    </row>
    <row r="90" spans="1:8" ht="165.6" customHeight="1" x14ac:dyDescent="0.25">
      <c r="A90" s="71">
        <f t="shared" si="1"/>
        <v>89</v>
      </c>
      <c r="B90" s="27" t="s">
        <v>411</v>
      </c>
      <c r="C90" s="27" t="s">
        <v>405</v>
      </c>
      <c r="D90" s="27" t="s">
        <v>48</v>
      </c>
      <c r="E90" s="27" t="s">
        <v>49</v>
      </c>
      <c r="F90" s="42">
        <v>126563</v>
      </c>
      <c r="G90" s="28">
        <v>168125</v>
      </c>
      <c r="H90" s="28">
        <v>212750</v>
      </c>
    </row>
    <row r="91" spans="1:8" ht="208.5" customHeight="1" x14ac:dyDescent="0.25">
      <c r="A91" s="71">
        <f t="shared" si="1"/>
        <v>90</v>
      </c>
      <c r="B91" s="27" t="s">
        <v>413</v>
      </c>
      <c r="C91" s="27" t="s">
        <v>405</v>
      </c>
      <c r="D91" s="27" t="s">
        <v>48</v>
      </c>
      <c r="E91" s="27" t="s">
        <v>49</v>
      </c>
      <c r="F91" s="42">
        <v>126563</v>
      </c>
      <c r="G91" s="28">
        <v>168125</v>
      </c>
      <c r="H91" s="28">
        <v>212750</v>
      </c>
    </row>
    <row r="92" spans="1:8" ht="30" x14ac:dyDescent="0.25">
      <c r="A92" s="71">
        <f t="shared" si="1"/>
        <v>91</v>
      </c>
      <c r="B92" s="27" t="s">
        <v>415</v>
      </c>
      <c r="C92" s="27" t="s">
        <v>405</v>
      </c>
      <c r="D92" s="27" t="s">
        <v>216</v>
      </c>
      <c r="E92" s="27" t="s">
        <v>49</v>
      </c>
      <c r="F92" s="42">
        <v>129750</v>
      </c>
      <c r="G92" s="28">
        <v>174500</v>
      </c>
      <c r="H92" s="28">
        <v>225500</v>
      </c>
    </row>
    <row r="93" spans="1:8" ht="45" x14ac:dyDescent="0.25">
      <c r="A93" s="71">
        <f t="shared" si="1"/>
        <v>92</v>
      </c>
      <c r="B93" s="27" t="s">
        <v>417</v>
      </c>
      <c r="C93" s="27" t="s">
        <v>405</v>
      </c>
      <c r="D93" s="27" t="s">
        <v>418</v>
      </c>
      <c r="E93" s="27" t="s">
        <v>49</v>
      </c>
      <c r="F93" s="42">
        <v>129375</v>
      </c>
      <c r="G93" s="28">
        <v>173750</v>
      </c>
      <c r="H93" s="28">
        <v>224000</v>
      </c>
    </row>
    <row r="94" spans="1:8" ht="30" x14ac:dyDescent="0.25">
      <c r="A94" s="71">
        <f t="shared" si="1"/>
        <v>93</v>
      </c>
      <c r="B94" s="27" t="s">
        <v>420</v>
      </c>
      <c r="C94" s="27" t="s">
        <v>405</v>
      </c>
      <c r="D94" s="27" t="s">
        <v>338</v>
      </c>
      <c r="E94" s="27" t="s">
        <v>49</v>
      </c>
      <c r="F94" s="42">
        <v>132188</v>
      </c>
      <c r="G94" s="28">
        <v>179375</v>
      </c>
      <c r="H94" s="28">
        <v>235250</v>
      </c>
    </row>
    <row r="95" spans="1:8" ht="30" x14ac:dyDescent="0.25">
      <c r="A95" s="71">
        <f t="shared" si="1"/>
        <v>94</v>
      </c>
      <c r="B95" s="27" t="s">
        <v>422</v>
      </c>
      <c r="C95" s="27" t="s">
        <v>405</v>
      </c>
      <c r="D95" s="27" t="s">
        <v>216</v>
      </c>
      <c r="E95" s="27" t="s">
        <v>49</v>
      </c>
      <c r="F95" s="42">
        <v>128813</v>
      </c>
      <c r="G95" s="28">
        <v>172625</v>
      </c>
      <c r="H95" s="28">
        <v>221750</v>
      </c>
    </row>
    <row r="96" spans="1:8" ht="45" x14ac:dyDescent="0.25">
      <c r="A96" s="71">
        <f t="shared" si="1"/>
        <v>95</v>
      </c>
      <c r="B96" s="27" t="s">
        <v>424</v>
      </c>
      <c r="C96" s="27" t="s">
        <v>405</v>
      </c>
      <c r="D96" s="27" t="s">
        <v>425</v>
      </c>
      <c r="E96" s="27" t="s">
        <v>49</v>
      </c>
      <c r="F96" s="42">
        <v>134813</v>
      </c>
      <c r="G96" s="28">
        <v>184625</v>
      </c>
      <c r="H96" s="28">
        <v>245750</v>
      </c>
    </row>
    <row r="97" spans="1:8" ht="30" x14ac:dyDescent="0.25">
      <c r="A97" s="71">
        <f t="shared" si="1"/>
        <v>96</v>
      </c>
      <c r="B97" s="27" t="s">
        <v>427</v>
      </c>
      <c r="C97" s="27" t="s">
        <v>405</v>
      </c>
      <c r="D97" s="27" t="s">
        <v>428</v>
      </c>
      <c r="E97" s="27" t="s">
        <v>49</v>
      </c>
      <c r="F97" s="42">
        <v>127125</v>
      </c>
      <c r="G97" s="28">
        <v>169250</v>
      </c>
      <c r="H97" s="28">
        <v>215000</v>
      </c>
    </row>
    <row r="98" spans="1:8" ht="30" x14ac:dyDescent="0.25">
      <c r="A98" s="71">
        <f t="shared" si="1"/>
        <v>97</v>
      </c>
      <c r="B98" s="27" t="s">
        <v>430</v>
      </c>
      <c r="C98" s="27" t="s">
        <v>405</v>
      </c>
      <c r="D98" s="27" t="s">
        <v>431</v>
      </c>
      <c r="E98" s="27" t="s">
        <v>49</v>
      </c>
      <c r="F98" s="42">
        <v>137625</v>
      </c>
      <c r="G98" s="28">
        <v>190250</v>
      </c>
      <c r="H98" s="28">
        <v>257000</v>
      </c>
    </row>
    <row r="99" spans="1:8" ht="30" x14ac:dyDescent="0.25">
      <c r="A99" s="71">
        <f t="shared" si="1"/>
        <v>98</v>
      </c>
      <c r="B99" s="27" t="s">
        <v>433</v>
      </c>
      <c r="C99" s="27" t="s">
        <v>405</v>
      </c>
      <c r="D99" s="27" t="s">
        <v>425</v>
      </c>
      <c r="E99" s="27" t="s">
        <v>49</v>
      </c>
      <c r="F99" s="42">
        <v>137625</v>
      </c>
      <c r="G99" s="28">
        <v>190250</v>
      </c>
      <c r="H99" s="28">
        <v>257000</v>
      </c>
    </row>
    <row r="100" spans="1:8" ht="45" x14ac:dyDescent="0.25">
      <c r="A100" s="71">
        <f t="shared" si="1"/>
        <v>99</v>
      </c>
      <c r="B100" s="27" t="s">
        <v>435</v>
      </c>
      <c r="C100" s="27" t="s">
        <v>405</v>
      </c>
      <c r="D100" s="27" t="s">
        <v>436</v>
      </c>
      <c r="E100" s="27" t="s">
        <v>49</v>
      </c>
      <c r="F100" s="42">
        <v>133313</v>
      </c>
      <c r="G100" s="28">
        <v>181625</v>
      </c>
      <c r="H100" s="28">
        <v>239750</v>
      </c>
    </row>
    <row r="101" spans="1:8" ht="30" x14ac:dyDescent="0.25">
      <c r="A101" s="71">
        <f t="shared" si="1"/>
        <v>100</v>
      </c>
      <c r="B101" s="27" t="s">
        <v>438</v>
      </c>
      <c r="C101" s="27" t="s">
        <v>405</v>
      </c>
      <c r="D101" s="27" t="s">
        <v>439</v>
      </c>
      <c r="E101" s="27" t="s">
        <v>49</v>
      </c>
      <c r="F101" s="42">
        <v>132938</v>
      </c>
      <c r="G101" s="28">
        <v>180875</v>
      </c>
      <c r="H101" s="28">
        <v>238250</v>
      </c>
    </row>
    <row r="102" spans="1:8" ht="30" x14ac:dyDescent="0.25">
      <c r="A102" s="71">
        <f t="shared" si="1"/>
        <v>101</v>
      </c>
      <c r="B102" s="27" t="s">
        <v>441</v>
      </c>
      <c r="C102" s="27" t="s">
        <v>405</v>
      </c>
      <c r="D102" s="27" t="s">
        <v>48</v>
      </c>
      <c r="E102" s="27" t="s">
        <v>49</v>
      </c>
      <c r="F102" s="42">
        <v>123938</v>
      </c>
      <c r="G102" s="28">
        <v>162875</v>
      </c>
      <c r="H102" s="28">
        <v>202250</v>
      </c>
    </row>
    <row r="103" spans="1:8" ht="30" x14ac:dyDescent="0.25">
      <c r="A103" s="71">
        <f t="shared" si="1"/>
        <v>102</v>
      </c>
      <c r="B103" s="27" t="s">
        <v>443</v>
      </c>
      <c r="C103" s="27" t="s">
        <v>405</v>
      </c>
      <c r="D103" s="27" t="s">
        <v>436</v>
      </c>
      <c r="E103" s="27" t="s">
        <v>49</v>
      </c>
      <c r="F103" s="42">
        <v>149813</v>
      </c>
      <c r="G103" s="28">
        <v>214625</v>
      </c>
      <c r="H103" s="28">
        <v>305750</v>
      </c>
    </row>
    <row r="104" spans="1:8" ht="30" x14ac:dyDescent="0.25">
      <c r="A104" s="71">
        <f t="shared" si="1"/>
        <v>103</v>
      </c>
      <c r="B104" s="27" t="s">
        <v>445</v>
      </c>
      <c r="C104" s="27" t="s">
        <v>405</v>
      </c>
      <c r="D104" s="27" t="s">
        <v>446</v>
      </c>
      <c r="E104" s="27" t="s">
        <v>49</v>
      </c>
      <c r="F104" s="42">
        <v>128438</v>
      </c>
      <c r="G104" s="28">
        <v>171875</v>
      </c>
      <c r="H104" s="28">
        <v>220250</v>
      </c>
    </row>
    <row r="105" spans="1:8" ht="30" x14ac:dyDescent="0.25">
      <c r="A105" s="71">
        <f t="shared" si="1"/>
        <v>104</v>
      </c>
      <c r="B105" s="27" t="s">
        <v>448</v>
      </c>
      <c r="C105" s="27" t="s">
        <v>405</v>
      </c>
      <c r="D105" s="27" t="s">
        <v>449</v>
      </c>
      <c r="E105" s="27" t="s">
        <v>49</v>
      </c>
      <c r="F105" s="42">
        <v>132563</v>
      </c>
      <c r="G105" s="28">
        <v>180125</v>
      </c>
      <c r="H105" s="28">
        <v>236750</v>
      </c>
    </row>
    <row r="106" spans="1:8" ht="45" x14ac:dyDescent="0.25">
      <c r="A106" s="71">
        <f t="shared" si="1"/>
        <v>105</v>
      </c>
      <c r="B106" s="27" t="s">
        <v>451</v>
      </c>
      <c r="C106" s="27" t="s">
        <v>405</v>
      </c>
      <c r="D106" s="27" t="s">
        <v>452</v>
      </c>
      <c r="E106" s="27" t="s">
        <v>49</v>
      </c>
      <c r="F106" s="42">
        <v>124500</v>
      </c>
      <c r="G106" s="28">
        <v>164000</v>
      </c>
      <c r="H106" s="28">
        <v>204500</v>
      </c>
    </row>
    <row r="107" spans="1:8" ht="30" x14ac:dyDescent="0.25">
      <c r="A107" s="71">
        <f t="shared" si="1"/>
        <v>106</v>
      </c>
      <c r="B107" s="27" t="s">
        <v>454</v>
      </c>
      <c r="C107" s="27" t="s">
        <v>405</v>
      </c>
      <c r="D107" s="27" t="s">
        <v>436</v>
      </c>
      <c r="E107" s="27" t="s">
        <v>49</v>
      </c>
      <c r="F107" s="42">
        <v>144375</v>
      </c>
      <c r="G107" s="28">
        <v>203750</v>
      </c>
      <c r="H107" s="28">
        <v>284000</v>
      </c>
    </row>
    <row r="108" spans="1:8" ht="195" x14ac:dyDescent="0.25">
      <c r="A108" s="71">
        <f t="shared" si="1"/>
        <v>107</v>
      </c>
      <c r="B108" s="27" t="s">
        <v>456</v>
      </c>
      <c r="C108" s="27" t="s">
        <v>405</v>
      </c>
      <c r="D108" s="27" t="s">
        <v>48</v>
      </c>
      <c r="E108" s="27" t="s">
        <v>49</v>
      </c>
      <c r="F108" s="42">
        <v>126563</v>
      </c>
      <c r="G108" s="28">
        <v>168125</v>
      </c>
      <c r="H108" s="28">
        <v>212750</v>
      </c>
    </row>
    <row r="109" spans="1:8" ht="30" x14ac:dyDescent="0.25">
      <c r="A109" s="71">
        <f t="shared" si="1"/>
        <v>108</v>
      </c>
      <c r="B109" s="27" t="s">
        <v>458</v>
      </c>
      <c r="C109" s="27" t="s">
        <v>405</v>
      </c>
      <c r="D109" s="27" t="s">
        <v>349</v>
      </c>
      <c r="E109" s="27" t="s">
        <v>49</v>
      </c>
      <c r="F109" s="42">
        <v>126000</v>
      </c>
      <c r="G109" s="28">
        <v>167000</v>
      </c>
      <c r="H109" s="28">
        <v>210500</v>
      </c>
    </row>
    <row r="110" spans="1:8" ht="30" x14ac:dyDescent="0.25">
      <c r="A110" s="71">
        <f t="shared" si="1"/>
        <v>109</v>
      </c>
      <c r="B110" s="27" t="s">
        <v>460</v>
      </c>
      <c r="C110" s="27" t="s">
        <v>405</v>
      </c>
      <c r="D110" s="27" t="s">
        <v>446</v>
      </c>
      <c r="E110" s="27" t="s">
        <v>49</v>
      </c>
      <c r="F110" s="42">
        <v>129750</v>
      </c>
      <c r="G110" s="28">
        <v>174500</v>
      </c>
      <c r="H110" s="28">
        <v>225500</v>
      </c>
    </row>
    <row r="111" spans="1:8" ht="30" x14ac:dyDescent="0.25">
      <c r="A111" s="71">
        <f t="shared" si="1"/>
        <v>110</v>
      </c>
      <c r="B111" s="27" t="s">
        <v>462</v>
      </c>
      <c r="C111" s="27" t="s">
        <v>405</v>
      </c>
      <c r="D111" s="27" t="s">
        <v>463</v>
      </c>
      <c r="E111" s="27" t="s">
        <v>49</v>
      </c>
      <c r="F111" s="42">
        <v>125250</v>
      </c>
      <c r="G111" s="28">
        <v>165500</v>
      </c>
      <c r="H111" s="28">
        <v>207500</v>
      </c>
    </row>
    <row r="112" spans="1:8" ht="30" x14ac:dyDescent="0.25">
      <c r="A112" s="71">
        <f t="shared" si="1"/>
        <v>111</v>
      </c>
      <c r="B112" s="27" t="s">
        <v>465</v>
      </c>
      <c r="C112" s="27" t="s">
        <v>405</v>
      </c>
      <c r="D112" s="27" t="s">
        <v>346</v>
      </c>
      <c r="E112" s="27" t="s">
        <v>49</v>
      </c>
      <c r="F112" s="42">
        <v>148125</v>
      </c>
      <c r="G112" s="28">
        <v>211250</v>
      </c>
      <c r="H112" s="28">
        <v>299000</v>
      </c>
    </row>
    <row r="113" spans="1:8" ht="30" x14ac:dyDescent="0.25">
      <c r="A113" s="71">
        <f t="shared" si="1"/>
        <v>112</v>
      </c>
      <c r="B113" s="27" t="s">
        <v>467</v>
      </c>
      <c r="C113" s="27" t="s">
        <v>405</v>
      </c>
      <c r="D113" s="27" t="s">
        <v>468</v>
      </c>
      <c r="E113" s="27" t="s">
        <v>49</v>
      </c>
      <c r="F113" s="42">
        <v>132938</v>
      </c>
      <c r="G113" s="28">
        <v>180875</v>
      </c>
      <c r="H113" s="28">
        <v>238250</v>
      </c>
    </row>
    <row r="114" spans="1:8" ht="30" x14ac:dyDescent="0.25">
      <c r="A114" s="71">
        <f t="shared" si="1"/>
        <v>113</v>
      </c>
      <c r="B114" s="27" t="s">
        <v>470</v>
      </c>
      <c r="C114" s="27" t="s">
        <v>405</v>
      </c>
      <c r="D114" s="27" t="s">
        <v>471</v>
      </c>
      <c r="E114" s="27" t="s">
        <v>49</v>
      </c>
      <c r="F114" s="42">
        <v>126563</v>
      </c>
      <c r="G114" s="28">
        <v>168125</v>
      </c>
      <c r="H114" s="28">
        <v>212750</v>
      </c>
    </row>
    <row r="115" spans="1:8" ht="45" x14ac:dyDescent="0.25">
      <c r="A115" s="71">
        <f t="shared" si="1"/>
        <v>114</v>
      </c>
      <c r="B115" s="27" t="s">
        <v>473</v>
      </c>
      <c r="C115" s="27" t="s">
        <v>474</v>
      </c>
      <c r="D115" s="27" t="s">
        <v>475</v>
      </c>
      <c r="E115" s="27" t="s">
        <v>476</v>
      </c>
      <c r="F115" s="42">
        <v>195250</v>
      </c>
      <c r="G115" s="28">
        <v>287500</v>
      </c>
      <c r="H115" s="28">
        <v>430000</v>
      </c>
    </row>
    <row r="116" spans="1:8" ht="30" x14ac:dyDescent="0.25">
      <c r="A116" s="71">
        <f t="shared" si="1"/>
        <v>115</v>
      </c>
      <c r="B116" s="27" t="s">
        <v>478</v>
      </c>
      <c r="C116" s="27" t="s">
        <v>474</v>
      </c>
      <c r="D116" s="27" t="s">
        <v>476</v>
      </c>
      <c r="E116" s="27" t="s">
        <v>49</v>
      </c>
      <c r="F116" s="42">
        <v>185125</v>
      </c>
      <c r="G116" s="28">
        <v>267250</v>
      </c>
      <c r="H116" s="28">
        <v>389500</v>
      </c>
    </row>
    <row r="117" spans="1:8" ht="90" x14ac:dyDescent="0.25">
      <c r="A117" s="71">
        <f t="shared" si="1"/>
        <v>116</v>
      </c>
      <c r="B117" s="27" t="s">
        <v>480</v>
      </c>
      <c r="C117" s="27" t="s">
        <v>474</v>
      </c>
      <c r="D117" s="27" t="s">
        <v>481</v>
      </c>
      <c r="E117" s="27" t="s">
        <v>476</v>
      </c>
      <c r="F117" s="42">
        <v>205938</v>
      </c>
      <c r="G117" s="28">
        <v>308875</v>
      </c>
      <c r="H117" s="28">
        <v>472750</v>
      </c>
    </row>
    <row r="118" spans="1:8" ht="30" x14ac:dyDescent="0.25">
      <c r="A118" s="71">
        <f t="shared" si="1"/>
        <v>117</v>
      </c>
      <c r="B118" s="27" t="s">
        <v>483</v>
      </c>
      <c r="C118" s="27" t="s">
        <v>474</v>
      </c>
      <c r="D118" s="27" t="s">
        <v>484</v>
      </c>
      <c r="E118" s="27" t="s">
        <v>476</v>
      </c>
      <c r="F118" s="42">
        <v>183438</v>
      </c>
      <c r="G118" s="28">
        <v>263875</v>
      </c>
      <c r="H118" s="28">
        <v>382750</v>
      </c>
    </row>
    <row r="119" spans="1:8" ht="45" x14ac:dyDescent="0.25">
      <c r="A119" s="71">
        <f t="shared" si="1"/>
        <v>118</v>
      </c>
      <c r="B119" s="27" t="s">
        <v>486</v>
      </c>
      <c r="C119" s="27" t="s">
        <v>474</v>
      </c>
      <c r="D119" s="27" t="s">
        <v>481</v>
      </c>
      <c r="E119" s="27" t="s">
        <v>476</v>
      </c>
      <c r="F119" s="42">
        <v>193000</v>
      </c>
      <c r="G119" s="28">
        <v>283000</v>
      </c>
      <c r="H119" s="28">
        <v>421000</v>
      </c>
    </row>
    <row r="120" spans="1:8" ht="180" x14ac:dyDescent="0.25">
      <c r="A120" s="71">
        <f t="shared" si="1"/>
        <v>119</v>
      </c>
      <c r="B120" s="27" t="s">
        <v>488</v>
      </c>
      <c r="C120" s="27" t="s">
        <v>474</v>
      </c>
      <c r="D120" s="27" t="s">
        <v>489</v>
      </c>
      <c r="E120" s="27" t="s">
        <v>476</v>
      </c>
      <c r="F120" s="42">
        <v>188313</v>
      </c>
      <c r="G120" s="28">
        <v>273625</v>
      </c>
      <c r="H120" s="28">
        <v>402250</v>
      </c>
    </row>
    <row r="121" spans="1:8" ht="30" x14ac:dyDescent="0.25">
      <c r="A121" s="71">
        <f t="shared" si="1"/>
        <v>120</v>
      </c>
      <c r="B121" s="27" t="s">
        <v>491</v>
      </c>
      <c r="C121" s="27" t="s">
        <v>474</v>
      </c>
      <c r="D121" s="27" t="s">
        <v>492</v>
      </c>
      <c r="E121" s="27" t="s">
        <v>493</v>
      </c>
      <c r="F121" s="42">
        <v>215500</v>
      </c>
      <c r="G121" s="28">
        <v>328000</v>
      </c>
      <c r="H121" s="28">
        <v>511000</v>
      </c>
    </row>
    <row r="122" spans="1:8" ht="30" x14ac:dyDescent="0.25">
      <c r="A122" s="71">
        <f t="shared" si="1"/>
        <v>121</v>
      </c>
      <c r="B122" s="27" t="s">
        <v>495</v>
      </c>
      <c r="C122" s="27" t="s">
        <v>474</v>
      </c>
      <c r="D122" s="27" t="s">
        <v>496</v>
      </c>
      <c r="E122" s="27" t="s">
        <v>476</v>
      </c>
      <c r="F122" s="42">
        <v>187188</v>
      </c>
      <c r="G122" s="28">
        <v>271375</v>
      </c>
      <c r="H122" s="28">
        <v>397750</v>
      </c>
    </row>
    <row r="123" spans="1:8" ht="30" x14ac:dyDescent="0.25">
      <c r="A123" s="71">
        <f t="shared" si="1"/>
        <v>122</v>
      </c>
      <c r="B123" s="27" t="s">
        <v>498</v>
      </c>
      <c r="C123" s="27" t="s">
        <v>474</v>
      </c>
      <c r="D123" s="27" t="s">
        <v>499</v>
      </c>
      <c r="E123" s="27" t="s">
        <v>493</v>
      </c>
      <c r="F123" s="42">
        <v>171250</v>
      </c>
      <c r="G123" s="28">
        <v>239500</v>
      </c>
      <c r="H123" s="28">
        <v>334000</v>
      </c>
    </row>
    <row r="124" spans="1:8" ht="60" x14ac:dyDescent="0.25">
      <c r="A124" s="71">
        <f t="shared" si="1"/>
        <v>123</v>
      </c>
      <c r="B124" s="27" t="s">
        <v>501</v>
      </c>
      <c r="C124" s="27" t="s">
        <v>474</v>
      </c>
      <c r="D124" s="27" t="s">
        <v>502</v>
      </c>
      <c r="E124" s="27" t="s">
        <v>493</v>
      </c>
      <c r="F124" s="42">
        <v>163938</v>
      </c>
      <c r="G124" s="28">
        <v>224875</v>
      </c>
      <c r="H124" s="28">
        <v>304750</v>
      </c>
    </row>
    <row r="125" spans="1:8" ht="30" x14ac:dyDescent="0.25">
      <c r="A125" s="71">
        <f t="shared" si="1"/>
        <v>124</v>
      </c>
      <c r="B125" s="27" t="s">
        <v>504</v>
      </c>
      <c r="C125" s="27" t="s">
        <v>474</v>
      </c>
      <c r="D125" s="27" t="s">
        <v>505</v>
      </c>
      <c r="E125" s="27" t="s">
        <v>493</v>
      </c>
      <c r="F125" s="42">
        <v>196750</v>
      </c>
      <c r="G125" s="28">
        <v>290500</v>
      </c>
      <c r="H125" s="28">
        <v>436000</v>
      </c>
    </row>
    <row r="126" spans="1:8" ht="30" x14ac:dyDescent="0.25">
      <c r="A126" s="71">
        <f t="shared" si="1"/>
        <v>125</v>
      </c>
      <c r="B126" s="27" t="s">
        <v>507</v>
      </c>
      <c r="C126" s="27" t="s">
        <v>474</v>
      </c>
      <c r="D126" s="27" t="s">
        <v>508</v>
      </c>
      <c r="E126" s="27" t="s">
        <v>476</v>
      </c>
      <c r="F126" s="42">
        <v>183625</v>
      </c>
      <c r="G126" s="28">
        <v>264250</v>
      </c>
      <c r="H126" s="28">
        <v>383500</v>
      </c>
    </row>
    <row r="127" spans="1:8" ht="75" x14ac:dyDescent="0.25">
      <c r="A127" s="71">
        <f t="shared" si="1"/>
        <v>126</v>
      </c>
      <c r="B127" s="27" t="s">
        <v>510</v>
      </c>
      <c r="C127" s="27" t="s">
        <v>474</v>
      </c>
      <c r="D127" s="27" t="s">
        <v>481</v>
      </c>
      <c r="E127" s="27" t="s">
        <v>476</v>
      </c>
      <c r="F127" s="42">
        <v>187563</v>
      </c>
      <c r="G127" s="28">
        <v>272125</v>
      </c>
      <c r="H127" s="28">
        <v>399250</v>
      </c>
    </row>
    <row r="128" spans="1:8" ht="150" x14ac:dyDescent="0.25">
      <c r="A128" s="71">
        <f t="shared" si="1"/>
        <v>127</v>
      </c>
      <c r="B128" s="27" t="s">
        <v>558</v>
      </c>
      <c r="C128" s="27" t="s">
        <v>474</v>
      </c>
      <c r="D128" s="27" t="s">
        <v>476</v>
      </c>
      <c r="E128" s="27" t="s">
        <v>476</v>
      </c>
      <c r="F128" s="42">
        <v>193000</v>
      </c>
      <c r="G128" s="28">
        <v>283000</v>
      </c>
      <c r="H128" s="28">
        <v>421000</v>
      </c>
    </row>
    <row r="129" spans="1:8" ht="180" x14ac:dyDescent="0.25">
      <c r="A129" s="71">
        <f t="shared" si="1"/>
        <v>128</v>
      </c>
      <c r="B129" s="27" t="s">
        <v>513</v>
      </c>
      <c r="C129" s="27" t="s">
        <v>474</v>
      </c>
      <c r="D129" s="27" t="s">
        <v>481</v>
      </c>
      <c r="E129" s="27" t="s">
        <v>476</v>
      </c>
      <c r="F129" s="42">
        <v>194875</v>
      </c>
      <c r="G129" s="28">
        <v>286750</v>
      </c>
      <c r="H129" s="28">
        <v>428500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DEF2-4B2A-4365-B4EF-11641C4A800B}">
  <dimension ref="A1:W130"/>
  <sheetViews>
    <sheetView topLeftCell="M1" workbookViewId="0">
      <selection activeCell="Z4" sqref="Z4"/>
    </sheetView>
  </sheetViews>
  <sheetFormatPr baseColWidth="10" defaultColWidth="11.42578125" defaultRowHeight="15" x14ac:dyDescent="0.25"/>
  <cols>
    <col min="2" max="2" width="43.42578125" bestFit="1" customWidth="1"/>
    <col min="3" max="4" width="43.42578125" customWidth="1"/>
    <col min="5" max="5" width="12.140625" bestFit="1" customWidth="1"/>
    <col min="10" max="10" width="17.42578125" bestFit="1" customWidth="1"/>
    <col min="11" max="11" width="10.5703125" customWidth="1"/>
    <col min="12" max="12" width="11.5703125" hidden="1" customWidth="1"/>
    <col min="13" max="13" width="26.140625" customWidth="1"/>
    <col min="14" max="14" width="31.140625" customWidth="1"/>
    <col min="15" max="15" width="16.85546875" customWidth="1"/>
    <col min="16" max="16" width="19.140625" customWidth="1"/>
    <col min="17" max="18" width="14.42578125" customWidth="1"/>
    <col min="19" max="19" width="16.140625" customWidth="1"/>
    <col min="20" max="20" width="12.85546875" customWidth="1"/>
  </cols>
  <sheetData>
    <row r="1" spans="1:23" ht="60" x14ac:dyDescent="0.25">
      <c r="A1" s="7" t="s">
        <v>3</v>
      </c>
      <c r="B1" s="7" t="s">
        <v>28</v>
      </c>
      <c r="C1" s="19" t="s">
        <v>29</v>
      </c>
      <c r="D1" s="19" t="s">
        <v>30</v>
      </c>
      <c r="E1" s="12" t="s">
        <v>31</v>
      </c>
      <c r="F1" s="13" t="s">
        <v>32</v>
      </c>
      <c r="H1" t="s">
        <v>33</v>
      </c>
      <c r="J1" s="17" t="s">
        <v>34</v>
      </c>
      <c r="M1" s="23" t="s">
        <v>36</v>
      </c>
      <c r="N1" s="23" t="s">
        <v>10</v>
      </c>
      <c r="O1" s="24" t="s">
        <v>37</v>
      </c>
      <c r="P1" s="24" t="s">
        <v>38</v>
      </c>
      <c r="Q1" s="24" t="s">
        <v>39</v>
      </c>
      <c r="R1" s="24" t="s">
        <v>26</v>
      </c>
      <c r="S1" s="24" t="s">
        <v>22</v>
      </c>
      <c r="T1" s="25" t="s">
        <v>21</v>
      </c>
      <c r="U1" s="24" t="s">
        <v>514</v>
      </c>
      <c r="W1" t="s">
        <v>16</v>
      </c>
    </row>
    <row r="2" spans="1:23" ht="45" x14ac:dyDescent="0.25">
      <c r="A2" s="9">
        <v>9405</v>
      </c>
      <c r="B2" s="2" t="s">
        <v>41</v>
      </c>
      <c r="C2" s="2" t="s">
        <v>42</v>
      </c>
      <c r="D2" s="2" t="s">
        <v>43</v>
      </c>
      <c r="E2" s="56">
        <v>3000000</v>
      </c>
      <c r="F2" s="11"/>
      <c r="H2" t="s">
        <v>44</v>
      </c>
      <c r="J2" s="17" t="s">
        <v>45</v>
      </c>
      <c r="M2" s="35" t="s">
        <v>27</v>
      </c>
      <c r="N2" s="35">
        <v>0</v>
      </c>
      <c r="O2" s="36"/>
      <c r="P2" s="36" t="s">
        <v>515</v>
      </c>
      <c r="Q2" s="36" t="s">
        <v>516</v>
      </c>
      <c r="R2" s="36"/>
      <c r="S2" s="37" t="s">
        <v>517</v>
      </c>
      <c r="T2" s="38"/>
      <c r="U2" s="36" t="b">
        <f>EXACT(Destinos[[#This Row],[VALOR MINI BUS 30 PASAJEROS]],Destinos[[#This Row],[VALOR BUS BUS TURISMO 42 PASAJEROS]])</f>
        <v>0</v>
      </c>
      <c r="W2" s="24" t="s">
        <v>26</v>
      </c>
    </row>
    <row r="3" spans="1:23" ht="45" x14ac:dyDescent="0.25">
      <c r="A3" s="9">
        <v>9406</v>
      </c>
      <c r="B3" s="2" t="s">
        <v>50</v>
      </c>
      <c r="C3" s="2" t="s">
        <v>51</v>
      </c>
      <c r="D3" s="2" t="s">
        <v>52</v>
      </c>
      <c r="E3" s="57">
        <v>2500000</v>
      </c>
      <c r="F3" s="59">
        <v>2500000</v>
      </c>
      <c r="H3" t="s">
        <v>53</v>
      </c>
      <c r="J3" s="17" t="s">
        <v>54</v>
      </c>
      <c r="M3" s="26" t="s">
        <v>46</v>
      </c>
      <c r="N3" s="35"/>
      <c r="O3" s="27" t="s">
        <v>47</v>
      </c>
      <c r="P3" s="27" t="s">
        <v>48</v>
      </c>
      <c r="Q3" s="27" t="s">
        <v>49</v>
      </c>
      <c r="R3" s="28">
        <v>103750</v>
      </c>
      <c r="S3" s="28">
        <v>140000</v>
      </c>
      <c r="T3" s="29">
        <v>177500</v>
      </c>
      <c r="U3" s="34" t="b">
        <f>EXACT(Destinos[[#This Row],[VALOR MINI BUS 30 PASAJEROS]],Destinos[[#This Row],[VALOR BUS BUS TURISMO 42 PASAJEROS]])</f>
        <v>0</v>
      </c>
      <c r="W3" s="24" t="s">
        <v>564</v>
      </c>
    </row>
    <row r="4" spans="1:23" ht="60" x14ac:dyDescent="0.25">
      <c r="A4" s="9">
        <v>9410</v>
      </c>
      <c r="B4" s="2" t="s">
        <v>57</v>
      </c>
      <c r="C4" s="2" t="s">
        <v>58</v>
      </c>
      <c r="D4" s="2" t="s">
        <v>52</v>
      </c>
      <c r="E4" s="3">
        <v>2500000</v>
      </c>
      <c r="F4" s="41">
        <v>2500000</v>
      </c>
      <c r="H4" t="s">
        <v>59</v>
      </c>
      <c r="J4" s="17" t="s">
        <v>60</v>
      </c>
      <c r="M4" s="26" t="s">
        <v>55</v>
      </c>
      <c r="N4" s="35" t="s">
        <v>56</v>
      </c>
      <c r="O4" s="27" t="s">
        <v>47</v>
      </c>
      <c r="P4" s="27" t="s">
        <v>48</v>
      </c>
      <c r="Q4" s="27" t="s">
        <v>49</v>
      </c>
      <c r="R4" s="28">
        <v>103750</v>
      </c>
      <c r="S4" s="28">
        <v>140000</v>
      </c>
      <c r="T4" s="29">
        <v>177500</v>
      </c>
      <c r="U4" s="27" t="b">
        <f>EXACT(Destinos[[#This Row],[VALOR MINI BUS 30 PASAJEROS]],Destinos[[#This Row],[VALOR BUS BUS TURISMO 42 PASAJEROS]])</f>
        <v>0</v>
      </c>
      <c r="W4" s="24" t="s">
        <v>21</v>
      </c>
    </row>
    <row r="5" spans="1:23" ht="45" x14ac:dyDescent="0.25">
      <c r="A5" s="9">
        <v>9413</v>
      </c>
      <c r="B5" s="2" t="s">
        <v>63</v>
      </c>
      <c r="C5" s="2" t="s">
        <v>64</v>
      </c>
      <c r="D5" s="2" t="s">
        <v>43</v>
      </c>
      <c r="E5" s="56">
        <v>2000000</v>
      </c>
      <c r="F5" s="60"/>
      <c r="H5" t="s">
        <v>65</v>
      </c>
      <c r="J5" s="17" t="s">
        <v>66</v>
      </c>
      <c r="M5" s="26" t="s">
        <v>61</v>
      </c>
      <c r="N5" s="35" t="s">
        <v>62</v>
      </c>
      <c r="O5" s="27" t="s">
        <v>47</v>
      </c>
      <c r="P5" s="27" t="s">
        <v>48</v>
      </c>
      <c r="Q5" s="27" t="s">
        <v>49</v>
      </c>
      <c r="R5" s="28">
        <v>104688</v>
      </c>
      <c r="S5" s="28">
        <v>141875</v>
      </c>
      <c r="T5" s="29">
        <v>181250</v>
      </c>
      <c r="U5" s="27" t="b">
        <f>EXACT(Destinos[[#This Row],[VALOR MINI BUS 30 PASAJEROS]],Destinos[[#This Row],[VALOR BUS BUS TURISMO 42 PASAJEROS]])</f>
        <v>0</v>
      </c>
    </row>
    <row r="6" spans="1:23" x14ac:dyDescent="0.25">
      <c r="A6" s="9">
        <v>9415</v>
      </c>
      <c r="B6" s="2" t="s">
        <v>69</v>
      </c>
      <c r="C6" s="2" t="s">
        <v>70</v>
      </c>
      <c r="D6" s="2" t="s">
        <v>43</v>
      </c>
      <c r="E6" s="40">
        <v>3000000</v>
      </c>
      <c r="F6" s="11"/>
      <c r="H6" t="s">
        <v>71</v>
      </c>
      <c r="J6" s="17" t="s">
        <v>72</v>
      </c>
      <c r="M6" s="26" t="s">
        <v>20</v>
      </c>
      <c r="N6" s="35" t="s">
        <v>67</v>
      </c>
      <c r="O6" s="27" t="s">
        <v>47</v>
      </c>
      <c r="P6" s="27" t="s">
        <v>68</v>
      </c>
      <c r="Q6" s="27" t="s">
        <v>49</v>
      </c>
      <c r="R6" s="28">
        <v>105625</v>
      </c>
      <c r="S6" s="28">
        <v>143750</v>
      </c>
      <c r="T6" s="29">
        <v>185000</v>
      </c>
      <c r="U6" s="27" t="b">
        <f>EXACT(Destinos[[#This Row],[VALOR MINI BUS 30 PASAJEROS]],Destinos[[#This Row],[VALOR BUS BUS TURISMO 42 PASAJEROS]])</f>
        <v>0</v>
      </c>
    </row>
    <row r="7" spans="1:23" x14ac:dyDescent="0.25">
      <c r="A7" s="9">
        <v>9416</v>
      </c>
      <c r="B7" s="2" t="s">
        <v>75</v>
      </c>
      <c r="C7" s="2" t="s">
        <v>76</v>
      </c>
      <c r="D7" s="2" t="s">
        <v>43</v>
      </c>
      <c r="E7" s="40">
        <v>5000000</v>
      </c>
      <c r="F7" s="11"/>
      <c r="H7" t="s">
        <v>77</v>
      </c>
      <c r="J7" s="17" t="s">
        <v>78</v>
      </c>
      <c r="M7" s="26" t="s">
        <v>25</v>
      </c>
      <c r="N7" s="35" t="s">
        <v>73</v>
      </c>
      <c r="O7" s="27" t="s">
        <v>47</v>
      </c>
      <c r="P7" s="27" t="s">
        <v>74</v>
      </c>
      <c r="Q7" s="27" t="s">
        <v>49</v>
      </c>
      <c r="R7" s="28">
        <v>111250</v>
      </c>
      <c r="S7" s="28">
        <v>155000</v>
      </c>
      <c r="T7" s="29">
        <v>207500</v>
      </c>
      <c r="U7" s="27" t="b">
        <f>EXACT(Destinos[[#This Row],[VALOR MINI BUS 30 PASAJEROS]],Destinos[[#This Row],[VALOR BUS BUS TURISMO 42 PASAJEROS]])</f>
        <v>0</v>
      </c>
    </row>
    <row r="8" spans="1:23" x14ac:dyDescent="0.25">
      <c r="A8" s="9">
        <v>9418</v>
      </c>
      <c r="B8" s="2" t="s">
        <v>82</v>
      </c>
      <c r="C8" s="2" t="s">
        <v>83</v>
      </c>
      <c r="D8" s="2" t="s">
        <v>43</v>
      </c>
      <c r="E8" s="40">
        <v>2000000</v>
      </c>
      <c r="F8" s="11"/>
      <c r="H8" t="s">
        <v>84</v>
      </c>
      <c r="J8" s="17" t="s">
        <v>85</v>
      </c>
      <c r="M8" s="26" t="s">
        <v>79</v>
      </c>
      <c r="N8" s="35" t="s">
        <v>80</v>
      </c>
      <c r="O8" s="27" t="s">
        <v>47</v>
      </c>
      <c r="P8" s="27" t="s">
        <v>81</v>
      </c>
      <c r="Q8" s="27" t="s">
        <v>49</v>
      </c>
      <c r="R8" s="28">
        <v>101313</v>
      </c>
      <c r="S8" s="28">
        <v>135125</v>
      </c>
      <c r="T8" s="29">
        <v>167750</v>
      </c>
      <c r="U8" s="27" t="b">
        <f>EXACT(Destinos[[#This Row],[VALOR MINI BUS 30 PASAJEROS]],Destinos[[#This Row],[VALOR BUS BUS TURISMO 42 PASAJEROS]])</f>
        <v>0</v>
      </c>
    </row>
    <row r="9" spans="1:23" ht="30" x14ac:dyDescent="0.25">
      <c r="A9" s="9">
        <v>9419</v>
      </c>
      <c r="B9" s="2" t="s">
        <v>89</v>
      </c>
      <c r="C9" s="2" t="s">
        <v>90</v>
      </c>
      <c r="D9" s="2" t="s">
        <v>43</v>
      </c>
      <c r="E9" s="40">
        <v>2000000</v>
      </c>
      <c r="F9" s="11"/>
      <c r="H9" t="s">
        <v>91</v>
      </c>
      <c r="J9" s="17" t="s">
        <v>92</v>
      </c>
      <c r="M9" s="26" t="s">
        <v>86</v>
      </c>
      <c r="N9" s="35" t="s">
        <v>87</v>
      </c>
      <c r="O9" s="27" t="s">
        <v>47</v>
      </c>
      <c r="P9" s="27" t="s">
        <v>88</v>
      </c>
      <c r="Q9" s="27" t="s">
        <v>49</v>
      </c>
      <c r="R9" s="28">
        <v>104688</v>
      </c>
      <c r="S9" s="28">
        <v>141875</v>
      </c>
      <c r="T9" s="29">
        <v>181250</v>
      </c>
      <c r="U9" s="27" t="b">
        <f>EXACT(Destinos[[#This Row],[VALOR MINI BUS 30 PASAJEROS]],Destinos[[#This Row],[VALOR BUS BUS TURISMO 42 PASAJEROS]])</f>
        <v>0</v>
      </c>
    </row>
    <row r="10" spans="1:23" x14ac:dyDescent="0.25">
      <c r="A10" s="9">
        <v>9422</v>
      </c>
      <c r="B10" s="2" t="s">
        <v>96</v>
      </c>
      <c r="C10" s="2" t="s">
        <v>97</v>
      </c>
      <c r="D10" s="2" t="s">
        <v>43</v>
      </c>
      <c r="E10" s="40">
        <v>3000000</v>
      </c>
      <c r="F10" s="11"/>
      <c r="H10" t="s">
        <v>98</v>
      </c>
      <c r="J10" s="17" t="s">
        <v>99</v>
      </c>
      <c r="M10" s="26" t="s">
        <v>93</v>
      </c>
      <c r="N10" s="35" t="s">
        <v>94</v>
      </c>
      <c r="O10" s="27" t="s">
        <v>47</v>
      </c>
      <c r="P10" s="27" t="s">
        <v>95</v>
      </c>
      <c r="Q10" s="27" t="s">
        <v>49</v>
      </c>
      <c r="R10" s="28">
        <v>106000</v>
      </c>
      <c r="S10" s="28">
        <v>144500</v>
      </c>
      <c r="T10" s="29">
        <v>186500</v>
      </c>
      <c r="U10" s="27" t="b">
        <f>EXACT(Destinos[[#This Row],[VALOR MINI BUS 30 PASAJEROS]],Destinos[[#This Row],[VALOR BUS BUS TURISMO 42 PASAJEROS]])</f>
        <v>0</v>
      </c>
    </row>
    <row r="11" spans="1:23" ht="60" x14ac:dyDescent="0.25">
      <c r="A11" s="9">
        <v>9426</v>
      </c>
      <c r="B11" s="2" t="s">
        <v>102</v>
      </c>
      <c r="C11" s="2" t="s">
        <v>103</v>
      </c>
      <c r="D11" s="2" t="s">
        <v>43</v>
      </c>
      <c r="E11" s="40">
        <v>5000000</v>
      </c>
      <c r="F11" s="11"/>
      <c r="H11" t="s">
        <v>104</v>
      </c>
      <c r="J11" s="17" t="s">
        <v>105</v>
      </c>
      <c r="M11" s="26" t="s">
        <v>24</v>
      </c>
      <c r="N11" s="35" t="s">
        <v>100</v>
      </c>
      <c r="O11" s="27" t="s">
        <v>47</v>
      </c>
      <c r="P11" s="27" t="s">
        <v>101</v>
      </c>
      <c r="Q11" s="27" t="s">
        <v>49</v>
      </c>
      <c r="R11" s="28">
        <v>100375</v>
      </c>
      <c r="S11" s="28">
        <v>133250</v>
      </c>
      <c r="T11" s="29">
        <v>164000</v>
      </c>
      <c r="U11" s="27" t="b">
        <f>EXACT(Destinos[[#This Row],[VALOR MINI BUS 30 PASAJEROS]],Destinos[[#This Row],[VALOR BUS BUS TURISMO 42 PASAJEROS]])</f>
        <v>0</v>
      </c>
    </row>
    <row r="12" spans="1:23" ht="30" x14ac:dyDescent="0.25">
      <c r="A12" s="9">
        <v>9428</v>
      </c>
      <c r="B12" s="2" t="s">
        <v>108</v>
      </c>
      <c r="C12" s="2" t="s">
        <v>109</v>
      </c>
      <c r="D12" s="2" t="s">
        <v>43</v>
      </c>
      <c r="E12" s="40">
        <v>5000000</v>
      </c>
      <c r="F12" s="11"/>
      <c r="H12" t="s">
        <v>110</v>
      </c>
      <c r="J12" s="17" t="s">
        <v>111</v>
      </c>
      <c r="M12" s="26" t="s">
        <v>106</v>
      </c>
      <c r="N12" s="35" t="s">
        <v>107</v>
      </c>
      <c r="O12" s="27" t="s">
        <v>47</v>
      </c>
      <c r="P12" s="27" t="s">
        <v>95</v>
      </c>
      <c r="Q12" s="27" t="s">
        <v>49</v>
      </c>
      <c r="R12" s="28">
        <v>106563</v>
      </c>
      <c r="S12" s="28">
        <v>145625</v>
      </c>
      <c r="T12" s="29">
        <v>188750</v>
      </c>
      <c r="U12" s="27" t="b">
        <f>EXACT(Destinos[[#This Row],[VALOR MINI BUS 30 PASAJEROS]],Destinos[[#This Row],[VALOR BUS BUS TURISMO 42 PASAJEROS]])</f>
        <v>0</v>
      </c>
    </row>
    <row r="13" spans="1:23" x14ac:dyDescent="0.25">
      <c r="A13" s="9">
        <v>9431</v>
      </c>
      <c r="B13" s="2" t="s">
        <v>114</v>
      </c>
      <c r="C13" s="2" t="s">
        <v>115</v>
      </c>
      <c r="D13" s="2" t="s">
        <v>43</v>
      </c>
      <c r="E13" s="40">
        <v>2300000</v>
      </c>
      <c r="F13" s="11"/>
      <c r="H13" t="s">
        <v>116</v>
      </c>
      <c r="J13" s="17" t="s">
        <v>117</v>
      </c>
      <c r="M13" s="26" t="s">
        <v>112</v>
      </c>
      <c r="N13" s="35" t="s">
        <v>113</v>
      </c>
      <c r="O13" s="27" t="s">
        <v>47</v>
      </c>
      <c r="P13" s="27" t="s">
        <v>101</v>
      </c>
      <c r="Q13" s="27" t="s">
        <v>49</v>
      </c>
      <c r="R13" s="28">
        <v>100000</v>
      </c>
      <c r="S13" s="28">
        <v>132500</v>
      </c>
      <c r="T13" s="29">
        <v>162500</v>
      </c>
      <c r="U13" s="27" t="b">
        <f>EXACT(Destinos[[#This Row],[VALOR MINI BUS 30 PASAJEROS]],Destinos[[#This Row],[VALOR BUS BUS TURISMO 42 PASAJEROS]])</f>
        <v>0</v>
      </c>
    </row>
    <row r="14" spans="1:23" ht="30" x14ac:dyDescent="0.25">
      <c r="A14" s="9">
        <v>9433</v>
      </c>
      <c r="B14" s="2" t="s">
        <v>121</v>
      </c>
      <c r="C14" s="2" t="s">
        <v>122</v>
      </c>
      <c r="D14" s="2" t="s">
        <v>43</v>
      </c>
      <c r="E14" s="40">
        <v>3000000</v>
      </c>
      <c r="F14" s="11"/>
      <c r="J14" s="17" t="s">
        <v>123</v>
      </c>
      <c r="M14" s="26" t="s">
        <v>118</v>
      </c>
      <c r="N14" s="35" t="s">
        <v>119</v>
      </c>
      <c r="O14" s="27" t="s">
        <v>47</v>
      </c>
      <c r="P14" s="27" t="s">
        <v>120</v>
      </c>
      <c r="Q14" s="27" t="s">
        <v>49</v>
      </c>
      <c r="R14" s="28">
        <v>105625</v>
      </c>
      <c r="S14" s="28">
        <v>143750</v>
      </c>
      <c r="T14" s="29">
        <v>185000</v>
      </c>
      <c r="U14" s="27" t="b">
        <f>EXACT(Destinos[[#This Row],[VALOR MINI BUS 30 PASAJEROS]],Destinos[[#This Row],[VALOR BUS BUS TURISMO 42 PASAJEROS]])</f>
        <v>0</v>
      </c>
    </row>
    <row r="15" spans="1:23" ht="60" x14ac:dyDescent="0.25">
      <c r="A15" s="9">
        <v>9444</v>
      </c>
      <c r="B15" s="2" t="s">
        <v>127</v>
      </c>
      <c r="C15" s="2" t="s">
        <v>128</v>
      </c>
      <c r="D15" s="2" t="s">
        <v>52</v>
      </c>
      <c r="E15" s="57">
        <v>1000000</v>
      </c>
      <c r="F15" s="59">
        <v>1000000</v>
      </c>
      <c r="J15" s="17" t="s">
        <v>129</v>
      </c>
      <c r="M15" s="26" t="s">
        <v>124</v>
      </c>
      <c r="N15" s="35" t="s">
        <v>125</v>
      </c>
      <c r="O15" s="27" t="s">
        <v>47</v>
      </c>
      <c r="P15" s="27" t="s">
        <v>126</v>
      </c>
      <c r="Q15" s="27" t="s">
        <v>49</v>
      </c>
      <c r="R15" s="28">
        <v>106000</v>
      </c>
      <c r="S15" s="28">
        <v>144500</v>
      </c>
      <c r="T15" s="29">
        <v>186500</v>
      </c>
      <c r="U15" s="27" t="b">
        <f>EXACT(Destinos[[#This Row],[VALOR MINI BUS 30 PASAJEROS]],Destinos[[#This Row],[VALOR BUS BUS TURISMO 42 PASAJEROS]])</f>
        <v>0</v>
      </c>
    </row>
    <row r="16" spans="1:23" ht="60" x14ac:dyDescent="0.25">
      <c r="A16" s="9">
        <v>9446</v>
      </c>
      <c r="B16" s="2" t="s">
        <v>133</v>
      </c>
      <c r="C16" s="2" t="s">
        <v>134</v>
      </c>
      <c r="D16" s="2" t="s">
        <v>43</v>
      </c>
      <c r="E16" s="56">
        <v>1500000</v>
      </c>
      <c r="F16" s="60"/>
      <c r="J16" s="18" t="s">
        <v>135</v>
      </c>
      <c r="M16" s="26" t="s">
        <v>130</v>
      </c>
      <c r="N16" s="35" t="s">
        <v>131</v>
      </c>
      <c r="O16" s="27" t="s">
        <v>47</v>
      </c>
      <c r="P16" s="27" t="s">
        <v>132</v>
      </c>
      <c r="Q16" s="27" t="s">
        <v>49</v>
      </c>
      <c r="R16" s="28">
        <v>106000</v>
      </c>
      <c r="S16" s="28">
        <v>144500</v>
      </c>
      <c r="T16" s="29">
        <v>186500</v>
      </c>
      <c r="U16" s="27" t="b">
        <f>EXACT(Destinos[[#This Row],[VALOR MINI BUS 30 PASAJEROS]],Destinos[[#This Row],[VALOR BUS BUS TURISMO 42 PASAJEROS]])</f>
        <v>0</v>
      </c>
    </row>
    <row r="17" spans="1:21" x14ac:dyDescent="0.25">
      <c r="A17" s="9">
        <v>9458</v>
      </c>
      <c r="B17" s="2" t="s">
        <v>139</v>
      </c>
      <c r="C17" s="2" t="s">
        <v>140</v>
      </c>
      <c r="D17" s="2" t="s">
        <v>43</v>
      </c>
      <c r="E17" s="40">
        <v>4500000</v>
      </c>
      <c r="F17" s="11"/>
      <c r="J17" s="18" t="s">
        <v>141</v>
      </c>
      <c r="M17" s="26" t="s">
        <v>136</v>
      </c>
      <c r="N17" s="35" t="s">
        <v>137</v>
      </c>
      <c r="O17" s="27" t="s">
        <v>47</v>
      </c>
      <c r="P17" s="27" t="s">
        <v>138</v>
      </c>
      <c r="Q17" s="27" t="s">
        <v>49</v>
      </c>
      <c r="R17" s="28">
        <v>100563</v>
      </c>
      <c r="S17" s="28">
        <v>133625</v>
      </c>
      <c r="T17" s="29">
        <v>164750</v>
      </c>
      <c r="U17" s="27" t="b">
        <f>EXACT(Destinos[[#This Row],[VALOR MINI BUS 30 PASAJEROS]],Destinos[[#This Row],[VALOR BUS BUS TURISMO 42 PASAJEROS]])</f>
        <v>0</v>
      </c>
    </row>
    <row r="18" spans="1:21" x14ac:dyDescent="0.25">
      <c r="A18" s="9">
        <v>9460</v>
      </c>
      <c r="B18" s="2" t="s">
        <v>145</v>
      </c>
      <c r="C18" s="2" t="s">
        <v>146</v>
      </c>
      <c r="D18" s="2" t="s">
        <v>52</v>
      </c>
      <c r="E18" s="59">
        <v>1100000</v>
      </c>
      <c r="F18" s="59">
        <v>1100000</v>
      </c>
      <c r="J18" s="17" t="s">
        <v>147</v>
      </c>
      <c r="M18" s="26" t="s">
        <v>142</v>
      </c>
      <c r="N18" s="35" t="s">
        <v>143</v>
      </c>
      <c r="O18" s="27" t="s">
        <v>47</v>
      </c>
      <c r="P18" s="27" t="s">
        <v>144</v>
      </c>
      <c r="Q18" s="27" t="s">
        <v>49</v>
      </c>
      <c r="R18" s="28">
        <v>102250</v>
      </c>
      <c r="S18" s="28">
        <v>137000</v>
      </c>
      <c r="T18" s="29">
        <v>171500</v>
      </c>
      <c r="U18" s="27" t="b">
        <f>EXACT(Destinos[[#This Row],[VALOR MINI BUS 30 PASAJEROS]],Destinos[[#This Row],[VALOR BUS BUS TURISMO 42 PASAJEROS]])</f>
        <v>0</v>
      </c>
    </row>
    <row r="19" spans="1:21" ht="30" x14ac:dyDescent="0.25">
      <c r="A19" s="10">
        <v>9461</v>
      </c>
      <c r="B19" s="5" t="s">
        <v>151</v>
      </c>
      <c r="C19" s="5"/>
      <c r="D19" s="5"/>
      <c r="E19" s="58">
        <v>0</v>
      </c>
      <c r="F19" s="61">
        <v>0</v>
      </c>
      <c r="J19" s="17" t="s">
        <v>152</v>
      </c>
      <c r="M19" s="26" t="s">
        <v>148</v>
      </c>
      <c r="N19" s="35" t="s">
        <v>149</v>
      </c>
      <c r="O19" s="27" t="s">
        <v>47</v>
      </c>
      <c r="P19" s="27" t="s">
        <v>150</v>
      </c>
      <c r="Q19" s="27" t="s">
        <v>49</v>
      </c>
      <c r="R19" s="28">
        <v>103000</v>
      </c>
      <c r="S19" s="28">
        <v>138500</v>
      </c>
      <c r="T19" s="29">
        <v>174500</v>
      </c>
      <c r="U19" s="27" t="b">
        <f>EXACT(Destinos[[#This Row],[VALOR MINI BUS 30 PASAJEROS]],Destinos[[#This Row],[VALOR BUS BUS TURISMO 42 PASAJEROS]])</f>
        <v>0</v>
      </c>
    </row>
    <row r="20" spans="1:21" x14ac:dyDescent="0.25">
      <c r="A20" s="9">
        <v>9586</v>
      </c>
      <c r="B20" s="2" t="s">
        <v>155</v>
      </c>
      <c r="C20" s="2" t="s">
        <v>156</v>
      </c>
      <c r="D20" s="2" t="s">
        <v>43</v>
      </c>
      <c r="E20" s="40">
        <v>2200000</v>
      </c>
      <c r="F20" s="11"/>
      <c r="J20" s="18" t="s">
        <v>157</v>
      </c>
      <c r="M20" s="26" t="s">
        <v>153</v>
      </c>
      <c r="N20" s="35" t="s">
        <v>154</v>
      </c>
      <c r="O20" s="27" t="s">
        <v>47</v>
      </c>
      <c r="P20" s="27" t="s">
        <v>138</v>
      </c>
      <c r="Q20" s="27" t="s">
        <v>49</v>
      </c>
      <c r="R20" s="28">
        <v>102250</v>
      </c>
      <c r="S20" s="28">
        <v>137000</v>
      </c>
      <c r="T20" s="29">
        <v>171500</v>
      </c>
      <c r="U20" s="27" t="b">
        <f>EXACT(Destinos[[#This Row],[VALOR MINI BUS 30 PASAJEROS]],Destinos[[#This Row],[VALOR BUS BUS TURISMO 42 PASAJEROS]])</f>
        <v>0</v>
      </c>
    </row>
    <row r="21" spans="1:21" x14ac:dyDescent="0.25">
      <c r="A21" s="9">
        <v>9592</v>
      </c>
      <c r="B21" s="2" t="s">
        <v>160</v>
      </c>
      <c r="C21" s="2" t="s">
        <v>161</v>
      </c>
      <c r="D21" s="2" t="s">
        <v>43</v>
      </c>
      <c r="E21" s="40">
        <v>1000000</v>
      </c>
      <c r="F21" s="11"/>
      <c r="J21" s="18" t="s">
        <v>162</v>
      </c>
      <c r="M21" s="26" t="s">
        <v>158</v>
      </c>
      <c r="N21" s="35" t="s">
        <v>159</v>
      </c>
      <c r="O21" s="27" t="s">
        <v>47</v>
      </c>
      <c r="P21" s="27" t="s">
        <v>74</v>
      </c>
      <c r="Q21" s="27" t="s">
        <v>49</v>
      </c>
      <c r="R21" s="28">
        <v>109375</v>
      </c>
      <c r="S21" s="28">
        <v>151250</v>
      </c>
      <c r="T21" s="29">
        <v>200000</v>
      </c>
      <c r="U21" s="27" t="b">
        <f>EXACT(Destinos[[#This Row],[VALOR MINI BUS 30 PASAJEROS]],Destinos[[#This Row],[VALOR BUS BUS TURISMO 42 PASAJEROS]])</f>
        <v>0</v>
      </c>
    </row>
    <row r="22" spans="1:21" x14ac:dyDescent="0.25">
      <c r="A22" s="9">
        <v>9593</v>
      </c>
      <c r="B22" s="2" t="s">
        <v>165</v>
      </c>
      <c r="C22" s="2" t="s">
        <v>166</v>
      </c>
      <c r="D22" s="2" t="s">
        <v>43</v>
      </c>
      <c r="E22" s="40">
        <v>2000000</v>
      </c>
      <c r="F22" s="11"/>
      <c r="J22" s="18" t="s">
        <v>167</v>
      </c>
      <c r="M22" s="26" t="s">
        <v>163</v>
      </c>
      <c r="N22" s="35"/>
      <c r="O22" s="27" t="s">
        <v>47</v>
      </c>
      <c r="P22" s="27" t="s">
        <v>164</v>
      </c>
      <c r="Q22" s="27" t="s">
        <v>49</v>
      </c>
      <c r="R22" s="28">
        <v>104688</v>
      </c>
      <c r="S22" s="28">
        <v>141875</v>
      </c>
      <c r="T22" s="29">
        <v>181250</v>
      </c>
      <c r="U22" s="27" t="b">
        <f>EXACT(Destinos[[#This Row],[VALOR MINI BUS 30 PASAJEROS]],Destinos[[#This Row],[VALOR BUS BUS TURISMO 42 PASAJEROS]])</f>
        <v>0</v>
      </c>
    </row>
    <row r="23" spans="1:21" ht="30" x14ac:dyDescent="0.25">
      <c r="A23" s="9">
        <v>9599</v>
      </c>
      <c r="B23" s="2" t="s">
        <v>170</v>
      </c>
      <c r="C23" s="2" t="s">
        <v>171</v>
      </c>
      <c r="D23" s="2" t="s">
        <v>43</v>
      </c>
      <c r="E23" s="40">
        <v>2000000</v>
      </c>
      <c r="F23" s="11"/>
      <c r="J23" s="18" t="s">
        <v>172</v>
      </c>
      <c r="M23" s="26" t="s">
        <v>168</v>
      </c>
      <c r="N23" s="35" t="s">
        <v>169</v>
      </c>
      <c r="O23" s="27" t="s">
        <v>47</v>
      </c>
      <c r="P23" s="27" t="s">
        <v>120</v>
      </c>
      <c r="Q23" s="27" t="s">
        <v>49</v>
      </c>
      <c r="R23" s="28">
        <v>102813</v>
      </c>
      <c r="S23" s="28">
        <v>138125</v>
      </c>
      <c r="T23" s="29">
        <v>173750</v>
      </c>
      <c r="U23" s="27" t="b">
        <f>EXACT(Destinos[[#This Row],[VALOR MINI BUS 30 PASAJEROS]],Destinos[[#This Row],[VALOR BUS BUS TURISMO 42 PASAJEROS]])</f>
        <v>0</v>
      </c>
    </row>
    <row r="24" spans="1:21" ht="30" x14ac:dyDescent="0.25">
      <c r="A24" s="9">
        <v>9600</v>
      </c>
      <c r="B24" s="2" t="s">
        <v>175</v>
      </c>
      <c r="C24" s="2" t="s">
        <v>176</v>
      </c>
      <c r="D24" s="2" t="s">
        <v>43</v>
      </c>
      <c r="E24" s="40">
        <v>2000000</v>
      </c>
      <c r="F24" s="11"/>
      <c r="J24" s="18" t="s">
        <v>177</v>
      </c>
      <c r="M24" s="26" t="s">
        <v>173</v>
      </c>
      <c r="N24" s="35" t="s">
        <v>174</v>
      </c>
      <c r="O24" s="27" t="s">
        <v>47</v>
      </c>
      <c r="P24" s="27" t="s">
        <v>120</v>
      </c>
      <c r="Q24" s="27" t="s">
        <v>49</v>
      </c>
      <c r="R24" s="28">
        <v>101500</v>
      </c>
      <c r="S24" s="28">
        <v>135500</v>
      </c>
      <c r="T24" s="29">
        <v>168500</v>
      </c>
      <c r="U24" s="27" t="b">
        <f>EXACT(Destinos[[#This Row],[VALOR MINI BUS 30 PASAJEROS]],Destinos[[#This Row],[VALOR BUS BUS TURISMO 42 PASAJEROS]])</f>
        <v>0</v>
      </c>
    </row>
    <row r="25" spans="1:21" x14ac:dyDescent="0.25">
      <c r="A25" s="9">
        <v>9601</v>
      </c>
      <c r="B25" s="2" t="s">
        <v>179</v>
      </c>
      <c r="C25" s="2" t="s">
        <v>180</v>
      </c>
      <c r="D25" s="2" t="s">
        <v>52</v>
      </c>
      <c r="E25" s="57">
        <v>1500000</v>
      </c>
      <c r="F25" s="59">
        <v>1500000</v>
      </c>
      <c r="J25" s="18" t="s">
        <v>181</v>
      </c>
      <c r="M25" s="26" t="s">
        <v>178</v>
      </c>
      <c r="N25" s="35"/>
      <c r="O25" s="27" t="s">
        <v>47</v>
      </c>
      <c r="P25" s="27" t="s">
        <v>48</v>
      </c>
      <c r="Q25" s="27" t="s">
        <v>49</v>
      </c>
      <c r="R25" s="28">
        <v>105250</v>
      </c>
      <c r="S25" s="28">
        <v>143000</v>
      </c>
      <c r="T25" s="29">
        <v>183500</v>
      </c>
      <c r="U25" s="27" t="b">
        <f>EXACT(Destinos[[#This Row],[VALOR MINI BUS 30 PASAJEROS]],Destinos[[#This Row],[VALOR BUS BUS TURISMO 42 PASAJEROS]])</f>
        <v>0</v>
      </c>
    </row>
    <row r="26" spans="1:21" x14ac:dyDescent="0.25">
      <c r="A26" s="9">
        <v>9608</v>
      </c>
      <c r="B26" s="2" t="s">
        <v>184</v>
      </c>
      <c r="C26" s="2" t="s">
        <v>185</v>
      </c>
      <c r="D26" s="2" t="s">
        <v>52</v>
      </c>
      <c r="E26" s="3">
        <v>1900000</v>
      </c>
      <c r="F26" s="41">
        <v>1900000</v>
      </c>
      <c r="J26" s="18" t="s">
        <v>561</v>
      </c>
      <c r="M26" s="26" t="s">
        <v>182</v>
      </c>
      <c r="N26" s="35" t="s">
        <v>183</v>
      </c>
      <c r="O26" s="27" t="s">
        <v>47</v>
      </c>
      <c r="P26" s="27" t="s">
        <v>81</v>
      </c>
      <c r="Q26" s="27" t="s">
        <v>49</v>
      </c>
      <c r="R26" s="28">
        <v>101313</v>
      </c>
      <c r="S26" s="28">
        <v>135125</v>
      </c>
      <c r="T26" s="29">
        <v>167750</v>
      </c>
      <c r="U26" s="27" t="b">
        <f>EXACT(Destinos[[#This Row],[VALOR MINI BUS 30 PASAJEROS]],Destinos[[#This Row],[VALOR BUS BUS TURISMO 42 PASAJEROS]])</f>
        <v>0</v>
      </c>
    </row>
    <row r="27" spans="1:21" ht="30" x14ac:dyDescent="0.25">
      <c r="A27" s="9">
        <v>9611</v>
      </c>
      <c r="B27" s="2" t="s">
        <v>188</v>
      </c>
      <c r="C27" s="2" t="s">
        <v>189</v>
      </c>
      <c r="D27" s="2" t="s">
        <v>43</v>
      </c>
      <c r="E27" s="56">
        <v>2000000</v>
      </c>
      <c r="F27" s="60"/>
      <c r="M27" s="26" t="s">
        <v>186</v>
      </c>
      <c r="N27" s="35" t="s">
        <v>187</v>
      </c>
      <c r="O27" s="27" t="s">
        <v>47</v>
      </c>
      <c r="P27" s="27" t="s">
        <v>88</v>
      </c>
      <c r="Q27" s="27" t="s">
        <v>49</v>
      </c>
      <c r="R27" s="28">
        <v>104313</v>
      </c>
      <c r="S27" s="28">
        <v>141125</v>
      </c>
      <c r="T27" s="29">
        <v>179750</v>
      </c>
      <c r="U27" s="27" t="b">
        <f>EXACT(Destinos[[#This Row],[VALOR MINI BUS 30 PASAJEROS]],Destinos[[#This Row],[VALOR BUS BUS TURISMO 42 PASAJEROS]])</f>
        <v>0</v>
      </c>
    </row>
    <row r="28" spans="1:21" ht="30" x14ac:dyDescent="0.25">
      <c r="A28" s="9">
        <v>9614</v>
      </c>
      <c r="B28" s="2" t="s">
        <v>193</v>
      </c>
      <c r="C28" s="2" t="s">
        <v>194</v>
      </c>
      <c r="D28" s="2" t="s">
        <v>43</v>
      </c>
      <c r="E28" s="40">
        <v>2000000</v>
      </c>
      <c r="F28" s="11"/>
      <c r="M28" s="26" t="s">
        <v>190</v>
      </c>
      <c r="N28" s="35" t="s">
        <v>191</v>
      </c>
      <c r="O28" s="27" t="s">
        <v>47</v>
      </c>
      <c r="P28" s="27" t="s">
        <v>192</v>
      </c>
      <c r="Q28" s="27" t="s">
        <v>49</v>
      </c>
      <c r="R28" s="28">
        <v>110313</v>
      </c>
      <c r="S28" s="28">
        <v>153125</v>
      </c>
      <c r="T28" s="29">
        <v>203750</v>
      </c>
      <c r="U28" s="27" t="b">
        <f>EXACT(Destinos[[#This Row],[VALOR MINI BUS 30 PASAJEROS]],Destinos[[#This Row],[VALOR BUS BUS TURISMO 42 PASAJEROS]])</f>
        <v>0</v>
      </c>
    </row>
    <row r="29" spans="1:21" ht="45" x14ac:dyDescent="0.25">
      <c r="A29" s="9">
        <v>9625</v>
      </c>
      <c r="B29" s="2" t="s">
        <v>198</v>
      </c>
      <c r="C29" s="2" t="s">
        <v>199</v>
      </c>
      <c r="D29" s="2" t="s">
        <v>43</v>
      </c>
      <c r="E29" s="40">
        <v>3500000</v>
      </c>
      <c r="F29" s="11"/>
      <c r="M29" s="26" t="s">
        <v>195</v>
      </c>
      <c r="N29" s="35" t="s">
        <v>196</v>
      </c>
      <c r="O29" s="27" t="s">
        <v>47</v>
      </c>
      <c r="P29" s="27" t="s">
        <v>197</v>
      </c>
      <c r="Q29" s="27" t="s">
        <v>49</v>
      </c>
      <c r="R29" s="28">
        <v>101875</v>
      </c>
      <c r="S29" s="28">
        <v>136250</v>
      </c>
      <c r="T29" s="29">
        <v>170000</v>
      </c>
      <c r="U29" s="27" t="b">
        <f>EXACT(Destinos[[#This Row],[VALOR MINI BUS 30 PASAJEROS]],Destinos[[#This Row],[VALOR BUS BUS TURISMO 42 PASAJEROS]])</f>
        <v>0</v>
      </c>
    </row>
    <row r="30" spans="1:21" x14ac:dyDescent="0.25">
      <c r="A30" s="9">
        <v>9629</v>
      </c>
      <c r="B30" s="2" t="s">
        <v>203</v>
      </c>
      <c r="C30" s="2" t="s">
        <v>204</v>
      </c>
      <c r="D30" s="2" t="s">
        <v>52</v>
      </c>
      <c r="E30" s="57">
        <v>1000000</v>
      </c>
      <c r="F30" s="59">
        <v>1000000</v>
      </c>
      <c r="M30" s="26" t="s">
        <v>200</v>
      </c>
      <c r="N30" s="35" t="s">
        <v>201</v>
      </c>
      <c r="O30" s="27" t="s">
        <v>47</v>
      </c>
      <c r="P30" s="27" t="s">
        <v>202</v>
      </c>
      <c r="Q30" s="27" t="s">
        <v>49</v>
      </c>
      <c r="R30" s="42">
        <v>103375</v>
      </c>
      <c r="S30" s="28">
        <v>139250</v>
      </c>
      <c r="T30" s="29">
        <v>176000</v>
      </c>
      <c r="U30" s="27" t="b">
        <f>EXACT(Destinos[[#This Row],[VALOR MINI BUS 30 PASAJEROS]],Destinos[[#This Row],[VALOR BUS BUS TURISMO 42 PASAJEROS]])</f>
        <v>0</v>
      </c>
    </row>
    <row r="31" spans="1:21" ht="30" x14ac:dyDescent="0.25">
      <c r="A31" s="9">
        <v>9631</v>
      </c>
      <c r="B31" s="2" t="s">
        <v>207</v>
      </c>
      <c r="C31" s="2" t="s">
        <v>208</v>
      </c>
      <c r="D31" s="2" t="s">
        <v>52</v>
      </c>
      <c r="E31" s="3">
        <v>1000000</v>
      </c>
      <c r="F31" s="41">
        <v>1000000</v>
      </c>
      <c r="M31" s="26" t="s">
        <v>205</v>
      </c>
      <c r="N31" s="35" t="s">
        <v>206</v>
      </c>
      <c r="O31" s="27" t="s">
        <v>47</v>
      </c>
      <c r="P31" s="27" t="s">
        <v>48</v>
      </c>
      <c r="Q31" s="27" t="s">
        <v>49</v>
      </c>
      <c r="R31" s="42">
        <v>105813</v>
      </c>
      <c r="S31" s="28">
        <v>144125</v>
      </c>
      <c r="T31" s="29">
        <v>185750</v>
      </c>
      <c r="U31" s="27" t="b">
        <f>EXACT(Destinos[[#This Row],[VALOR MINI BUS 30 PASAJEROS]],Destinos[[#This Row],[VALOR BUS BUS TURISMO 42 PASAJEROS]])</f>
        <v>0</v>
      </c>
    </row>
    <row r="32" spans="1:21" x14ac:dyDescent="0.25">
      <c r="A32" s="9">
        <v>9690</v>
      </c>
      <c r="B32" s="2" t="s">
        <v>212</v>
      </c>
      <c r="C32" s="2" t="s">
        <v>213</v>
      </c>
      <c r="D32" s="2" t="s">
        <v>52</v>
      </c>
      <c r="E32" s="3">
        <v>1400000</v>
      </c>
      <c r="F32" s="41">
        <v>1400000</v>
      </c>
      <c r="M32" s="26" t="s">
        <v>209</v>
      </c>
      <c r="N32" s="35" t="s">
        <v>210</v>
      </c>
      <c r="O32" s="27" t="s">
        <v>47</v>
      </c>
      <c r="P32" s="27" t="s">
        <v>211</v>
      </c>
      <c r="Q32" s="27" t="s">
        <v>49</v>
      </c>
      <c r="R32" s="42">
        <v>100375</v>
      </c>
      <c r="S32" s="28">
        <v>133250</v>
      </c>
      <c r="T32" s="29">
        <v>164000</v>
      </c>
      <c r="U32" s="27" t="b">
        <f>EXACT(Destinos[[#This Row],[VALOR MINI BUS 30 PASAJEROS]],Destinos[[#This Row],[VALOR BUS BUS TURISMO 42 PASAJEROS]])</f>
        <v>0</v>
      </c>
    </row>
    <row r="33" spans="1:21" ht="30" x14ac:dyDescent="0.25">
      <c r="A33" s="9">
        <v>9693</v>
      </c>
      <c r="B33" s="2" t="s">
        <v>217</v>
      </c>
      <c r="C33" s="2" t="s">
        <v>218</v>
      </c>
      <c r="D33" s="2" t="s">
        <v>43</v>
      </c>
      <c r="E33" s="56">
        <v>10000000</v>
      </c>
      <c r="F33" s="60"/>
      <c r="M33" s="26" t="s">
        <v>214</v>
      </c>
      <c r="N33" s="35" t="s">
        <v>215</v>
      </c>
      <c r="O33" s="27" t="s">
        <v>47</v>
      </c>
      <c r="P33" s="27" t="s">
        <v>216</v>
      </c>
      <c r="Q33" s="27" t="s">
        <v>49</v>
      </c>
      <c r="R33" s="42">
        <v>107125</v>
      </c>
      <c r="S33" s="28">
        <v>146750</v>
      </c>
      <c r="T33" s="29">
        <v>191000</v>
      </c>
      <c r="U33" s="27" t="b">
        <f>EXACT(Destinos[[#This Row],[VALOR MINI BUS 30 PASAJEROS]],Destinos[[#This Row],[VALOR BUS BUS TURISMO 42 PASAJEROS]])</f>
        <v>0</v>
      </c>
    </row>
    <row r="34" spans="1:21" ht="60" x14ac:dyDescent="0.25">
      <c r="A34" s="9">
        <v>9695</v>
      </c>
      <c r="B34" s="2" t="s">
        <v>221</v>
      </c>
      <c r="C34" s="2" t="s">
        <v>222</v>
      </c>
      <c r="D34" s="2" t="s">
        <v>52</v>
      </c>
      <c r="E34" s="57">
        <v>2000000</v>
      </c>
      <c r="F34" s="59">
        <v>2000000</v>
      </c>
      <c r="M34" s="26" t="s">
        <v>219</v>
      </c>
      <c r="N34" s="35" t="s">
        <v>220</v>
      </c>
      <c r="O34" s="27" t="s">
        <v>47</v>
      </c>
      <c r="P34" s="27" t="s">
        <v>48</v>
      </c>
      <c r="Q34" s="27" t="s">
        <v>49</v>
      </c>
      <c r="R34" s="42">
        <v>103563</v>
      </c>
      <c r="S34" s="28">
        <v>139625</v>
      </c>
      <c r="T34" s="29">
        <v>176750</v>
      </c>
      <c r="U34" s="27" t="b">
        <f>EXACT(Destinos[[#This Row],[VALOR MINI BUS 30 PASAJEROS]],Destinos[[#This Row],[VALOR BUS BUS TURISMO 42 PASAJEROS]])</f>
        <v>0</v>
      </c>
    </row>
    <row r="35" spans="1:21" x14ac:dyDescent="0.25">
      <c r="A35" s="9">
        <v>9697</v>
      </c>
      <c r="B35" s="2" t="s">
        <v>225</v>
      </c>
      <c r="C35" s="2" t="s">
        <v>226</v>
      </c>
      <c r="D35" s="2" t="s">
        <v>52</v>
      </c>
      <c r="E35" s="3">
        <v>1000000</v>
      </c>
      <c r="F35" s="41">
        <v>1000000</v>
      </c>
      <c r="M35" s="26" t="s">
        <v>223</v>
      </c>
      <c r="N35" s="35" t="s">
        <v>224</v>
      </c>
      <c r="O35" s="27" t="s">
        <v>47</v>
      </c>
      <c r="P35" s="27" t="s">
        <v>48</v>
      </c>
      <c r="Q35" s="27" t="s">
        <v>49</v>
      </c>
      <c r="R35" s="42">
        <v>105625</v>
      </c>
      <c r="S35" s="28">
        <v>143750</v>
      </c>
      <c r="T35" s="29">
        <v>185000</v>
      </c>
      <c r="U35" s="27" t="b">
        <f>EXACT(Destinos[[#This Row],[VALOR MINI BUS 30 PASAJEROS]],Destinos[[#This Row],[VALOR BUS BUS TURISMO 42 PASAJEROS]])</f>
        <v>0</v>
      </c>
    </row>
    <row r="36" spans="1:21" x14ac:dyDescent="0.25">
      <c r="A36" s="9">
        <v>9699</v>
      </c>
      <c r="B36" s="2" t="s">
        <v>230</v>
      </c>
      <c r="C36" s="2" t="s">
        <v>231</v>
      </c>
      <c r="D36" s="2" t="s">
        <v>43</v>
      </c>
      <c r="E36" s="56">
        <v>5000000</v>
      </c>
      <c r="F36" s="60"/>
      <c r="M36" s="26" t="s">
        <v>227</v>
      </c>
      <c r="N36" s="35" t="s">
        <v>228</v>
      </c>
      <c r="O36" s="27" t="s">
        <v>47</v>
      </c>
      <c r="P36" s="27" t="s">
        <v>229</v>
      </c>
      <c r="Q36" s="27" t="s">
        <v>49</v>
      </c>
      <c r="R36" s="42">
        <v>105438</v>
      </c>
      <c r="S36" s="28">
        <v>143375</v>
      </c>
      <c r="T36" s="29">
        <v>184250</v>
      </c>
      <c r="U36" s="27" t="b">
        <f>EXACT(Destinos[[#This Row],[VALOR MINI BUS 30 PASAJEROS]],Destinos[[#This Row],[VALOR BUS BUS TURISMO 42 PASAJEROS]])</f>
        <v>0</v>
      </c>
    </row>
    <row r="37" spans="1:21" ht="30" x14ac:dyDescent="0.25">
      <c r="A37" s="9">
        <v>9700</v>
      </c>
      <c r="B37" s="2" t="s">
        <v>234</v>
      </c>
      <c r="C37" s="2" t="s">
        <v>235</v>
      </c>
      <c r="D37" s="2" t="s">
        <v>43</v>
      </c>
      <c r="E37" s="40">
        <v>1500000</v>
      </c>
      <c r="F37" s="11"/>
      <c r="M37" s="26" t="s">
        <v>232</v>
      </c>
      <c r="N37" s="35" t="s">
        <v>233</v>
      </c>
      <c r="O37" s="27" t="s">
        <v>47</v>
      </c>
      <c r="P37" s="27" t="s">
        <v>144</v>
      </c>
      <c r="Q37" s="27" t="s">
        <v>49</v>
      </c>
      <c r="R37" s="42">
        <v>103375</v>
      </c>
      <c r="S37" s="28">
        <v>139250</v>
      </c>
      <c r="T37" s="29">
        <v>176000</v>
      </c>
      <c r="U37" s="27" t="b">
        <f>EXACT(Destinos[[#This Row],[VALOR MINI BUS 30 PASAJEROS]],Destinos[[#This Row],[VALOR BUS BUS TURISMO 42 PASAJEROS]])</f>
        <v>0</v>
      </c>
    </row>
    <row r="38" spans="1:21" x14ac:dyDescent="0.25">
      <c r="A38" s="9">
        <v>9701</v>
      </c>
      <c r="B38" s="2" t="s">
        <v>238</v>
      </c>
      <c r="C38" s="2" t="s">
        <v>239</v>
      </c>
      <c r="D38" s="2" t="s">
        <v>43</v>
      </c>
      <c r="E38" s="40">
        <v>2500000</v>
      </c>
      <c r="F38" s="11"/>
      <c r="M38" s="26" t="s">
        <v>236</v>
      </c>
      <c r="N38" s="35" t="s">
        <v>237</v>
      </c>
      <c r="O38" s="27" t="s">
        <v>47</v>
      </c>
      <c r="P38" s="27" t="s">
        <v>229</v>
      </c>
      <c r="Q38" s="27" t="s">
        <v>49</v>
      </c>
      <c r="R38" s="42">
        <v>105250</v>
      </c>
      <c r="S38" s="28">
        <v>143000</v>
      </c>
      <c r="T38" s="29">
        <v>183500</v>
      </c>
      <c r="U38" s="27" t="b">
        <f>EXACT(Destinos[[#This Row],[VALOR MINI BUS 30 PASAJEROS]],Destinos[[#This Row],[VALOR BUS BUS TURISMO 42 PASAJEROS]])</f>
        <v>0</v>
      </c>
    </row>
    <row r="39" spans="1:21" ht="45" x14ac:dyDescent="0.25">
      <c r="A39" s="9">
        <v>9703</v>
      </c>
      <c r="B39" s="2" t="s">
        <v>242</v>
      </c>
      <c r="C39" s="2" t="s">
        <v>243</v>
      </c>
      <c r="D39" s="2" t="s">
        <v>43</v>
      </c>
      <c r="E39" s="40">
        <v>2500000</v>
      </c>
      <c r="F39" s="11"/>
      <c r="M39" s="26" t="s">
        <v>240</v>
      </c>
      <c r="N39" s="35" t="s">
        <v>241</v>
      </c>
      <c r="O39" s="27" t="s">
        <v>47</v>
      </c>
      <c r="P39" s="27" t="s">
        <v>48</v>
      </c>
      <c r="Q39" s="27" t="s">
        <v>49</v>
      </c>
      <c r="R39" s="42">
        <v>105063</v>
      </c>
      <c r="S39" s="28">
        <v>142625</v>
      </c>
      <c r="T39" s="29">
        <v>182750</v>
      </c>
      <c r="U39" s="27" t="b">
        <f>EXACT(Destinos[[#This Row],[VALOR MINI BUS 30 PASAJEROS]],Destinos[[#This Row],[VALOR BUS BUS TURISMO 42 PASAJEROS]])</f>
        <v>0</v>
      </c>
    </row>
    <row r="40" spans="1:21" ht="30" x14ac:dyDescent="0.25">
      <c r="A40" s="9">
        <v>9704</v>
      </c>
      <c r="B40" s="2" t="s">
        <v>246</v>
      </c>
      <c r="C40" s="2" t="s">
        <v>247</v>
      </c>
      <c r="D40" s="2" t="s">
        <v>52</v>
      </c>
      <c r="E40" s="57">
        <v>1000000</v>
      </c>
      <c r="F40" s="59">
        <v>1000000</v>
      </c>
      <c r="M40" s="26" t="s">
        <v>244</v>
      </c>
      <c r="N40" s="35" t="s">
        <v>245</v>
      </c>
      <c r="O40" s="27" t="s">
        <v>47</v>
      </c>
      <c r="P40" s="27" t="s">
        <v>48</v>
      </c>
      <c r="Q40" s="27" t="s">
        <v>49</v>
      </c>
      <c r="R40" s="42">
        <v>104875</v>
      </c>
      <c r="S40" s="28">
        <v>142250</v>
      </c>
      <c r="T40" s="29">
        <v>182000</v>
      </c>
      <c r="U40" s="27" t="b">
        <f>EXACT(Destinos[[#This Row],[VALOR MINI BUS 30 PASAJEROS]],Destinos[[#This Row],[VALOR BUS BUS TURISMO 42 PASAJEROS]])</f>
        <v>0</v>
      </c>
    </row>
    <row r="41" spans="1:21" x14ac:dyDescent="0.25">
      <c r="A41" s="9">
        <v>9705</v>
      </c>
      <c r="B41" s="2" t="s">
        <v>250</v>
      </c>
      <c r="C41" s="2" t="s">
        <v>251</v>
      </c>
      <c r="D41" s="2" t="s">
        <v>52</v>
      </c>
      <c r="E41" s="3">
        <v>1300000</v>
      </c>
      <c r="F41" s="41">
        <v>1300000</v>
      </c>
      <c r="M41" s="26" t="s">
        <v>248</v>
      </c>
      <c r="N41" s="35" t="s">
        <v>249</v>
      </c>
      <c r="O41" s="27" t="s">
        <v>47</v>
      </c>
      <c r="P41" s="27" t="s">
        <v>48</v>
      </c>
      <c r="Q41" s="27" t="s">
        <v>49</v>
      </c>
      <c r="R41" s="42">
        <v>105813</v>
      </c>
      <c r="S41" s="28">
        <v>144125</v>
      </c>
      <c r="T41" s="29">
        <v>185750</v>
      </c>
      <c r="U41" s="27" t="b">
        <f>EXACT(Destinos[[#This Row],[VALOR MINI BUS 30 PASAJEROS]],Destinos[[#This Row],[VALOR BUS BUS TURISMO 42 PASAJEROS]])</f>
        <v>0</v>
      </c>
    </row>
    <row r="42" spans="1:21" ht="60" x14ac:dyDescent="0.25">
      <c r="A42" s="9">
        <v>9706</v>
      </c>
      <c r="B42" s="2" t="s">
        <v>254</v>
      </c>
      <c r="C42" s="2" t="s">
        <v>255</v>
      </c>
      <c r="D42" s="2" t="s">
        <v>43</v>
      </c>
      <c r="E42" s="56">
        <v>2000000</v>
      </c>
      <c r="F42" s="60"/>
      <c r="M42" s="26" t="s">
        <v>252</v>
      </c>
      <c r="N42" s="35" t="s">
        <v>253</v>
      </c>
      <c r="O42" s="27" t="s">
        <v>47</v>
      </c>
      <c r="P42" s="27" t="s">
        <v>68</v>
      </c>
      <c r="Q42" s="27" t="s">
        <v>49</v>
      </c>
      <c r="R42" s="42">
        <v>105438</v>
      </c>
      <c r="S42" s="28">
        <v>143375</v>
      </c>
      <c r="T42" s="29">
        <v>184250</v>
      </c>
      <c r="U42" s="27" t="b">
        <f>EXACT(Destinos[[#This Row],[VALOR MINI BUS 30 PASAJEROS]],Destinos[[#This Row],[VALOR BUS BUS TURISMO 42 PASAJEROS]])</f>
        <v>0</v>
      </c>
    </row>
    <row r="43" spans="1:21" x14ac:dyDescent="0.25">
      <c r="A43" s="9">
        <v>9709</v>
      </c>
      <c r="B43" s="2" t="s">
        <v>259</v>
      </c>
      <c r="C43" s="2" t="s">
        <v>260</v>
      </c>
      <c r="D43" s="2" t="s">
        <v>43</v>
      </c>
      <c r="E43" s="40">
        <v>1800000</v>
      </c>
      <c r="F43" s="11"/>
      <c r="M43" s="26" t="s">
        <v>256</v>
      </c>
      <c r="N43" s="35" t="s">
        <v>257</v>
      </c>
      <c r="O43" s="27" t="s">
        <v>47</v>
      </c>
      <c r="P43" s="27" t="s">
        <v>258</v>
      </c>
      <c r="Q43" s="27" t="s">
        <v>49</v>
      </c>
      <c r="R43" s="42">
        <v>106000</v>
      </c>
      <c r="S43" s="28">
        <v>144500</v>
      </c>
      <c r="T43" s="29">
        <v>186500</v>
      </c>
      <c r="U43" s="27" t="b">
        <f>EXACT(Destinos[[#This Row],[VALOR MINI BUS 30 PASAJEROS]],Destinos[[#This Row],[VALOR BUS BUS TURISMO 42 PASAJEROS]])</f>
        <v>0</v>
      </c>
    </row>
    <row r="44" spans="1:21" ht="30" x14ac:dyDescent="0.25">
      <c r="A44" s="9">
        <v>9710</v>
      </c>
      <c r="B44" s="2" t="s">
        <v>263</v>
      </c>
      <c r="C44" s="2" t="s">
        <v>264</v>
      </c>
      <c r="D44" s="2" t="s">
        <v>52</v>
      </c>
      <c r="E44" s="57">
        <v>2000000</v>
      </c>
      <c r="F44" s="59">
        <v>2000000</v>
      </c>
      <c r="M44" s="26" t="s">
        <v>261</v>
      </c>
      <c r="N44" s="35" t="s">
        <v>262</v>
      </c>
      <c r="O44" s="27" t="s">
        <v>47</v>
      </c>
      <c r="P44" s="27" t="s">
        <v>68</v>
      </c>
      <c r="Q44" s="27" t="s">
        <v>49</v>
      </c>
      <c r="R44" s="42">
        <v>105438</v>
      </c>
      <c r="S44" s="28">
        <v>143375</v>
      </c>
      <c r="T44" s="29">
        <v>184250</v>
      </c>
      <c r="U44" s="27" t="b">
        <f>EXACT(Destinos[[#This Row],[VALOR MINI BUS 30 PASAJEROS]],Destinos[[#This Row],[VALOR BUS BUS TURISMO 42 PASAJEROS]])</f>
        <v>0</v>
      </c>
    </row>
    <row r="45" spans="1:21" ht="30" x14ac:dyDescent="0.25">
      <c r="A45" s="9">
        <v>9716</v>
      </c>
      <c r="B45" s="2" t="s">
        <v>267</v>
      </c>
      <c r="C45" s="2" t="s">
        <v>268</v>
      </c>
      <c r="D45" s="2" t="s">
        <v>43</v>
      </c>
      <c r="E45" s="56">
        <v>2000000</v>
      </c>
      <c r="F45" s="60"/>
      <c r="M45" s="26" t="s">
        <v>265</v>
      </c>
      <c r="N45" s="35" t="s">
        <v>266</v>
      </c>
      <c r="O45" s="27" t="s">
        <v>47</v>
      </c>
      <c r="P45" s="27" t="s">
        <v>68</v>
      </c>
      <c r="Q45" s="27" t="s">
        <v>49</v>
      </c>
      <c r="R45" s="42">
        <v>105438</v>
      </c>
      <c r="S45" s="28">
        <v>143375</v>
      </c>
      <c r="T45" s="29">
        <v>184250</v>
      </c>
      <c r="U45" s="27" t="b">
        <f>EXACT(Destinos[[#This Row],[VALOR MINI BUS 30 PASAJEROS]],Destinos[[#This Row],[VALOR BUS BUS TURISMO 42 PASAJEROS]])</f>
        <v>0</v>
      </c>
    </row>
    <row r="46" spans="1:21" x14ac:dyDescent="0.25">
      <c r="A46" s="9">
        <v>9719</v>
      </c>
      <c r="B46" s="2" t="s">
        <v>270</v>
      </c>
      <c r="C46" s="2" t="s">
        <v>271</v>
      </c>
      <c r="D46" s="2" t="s">
        <v>43</v>
      </c>
      <c r="E46" s="40">
        <v>2900000</v>
      </c>
      <c r="F46" s="11"/>
      <c r="M46" s="26" t="s">
        <v>269</v>
      </c>
      <c r="N46" s="35"/>
      <c r="O46" s="27" t="s">
        <v>47</v>
      </c>
      <c r="P46" s="27" t="s">
        <v>48</v>
      </c>
      <c r="Q46" s="27" t="s">
        <v>49</v>
      </c>
      <c r="R46" s="42">
        <v>105438</v>
      </c>
      <c r="S46" s="28">
        <v>143375</v>
      </c>
      <c r="T46" s="29">
        <v>184250</v>
      </c>
      <c r="U46" s="27" t="b">
        <f>EXACT(Destinos[[#This Row],[VALOR MINI BUS 30 PASAJEROS]],Destinos[[#This Row],[VALOR BUS BUS TURISMO 42 PASAJEROS]])</f>
        <v>0</v>
      </c>
    </row>
    <row r="47" spans="1:21" ht="45" x14ac:dyDescent="0.25">
      <c r="A47" s="9">
        <v>9720</v>
      </c>
      <c r="B47" s="2" t="s">
        <v>274</v>
      </c>
      <c r="C47" s="2" t="s">
        <v>275</v>
      </c>
      <c r="D47" s="2" t="s">
        <v>43</v>
      </c>
      <c r="E47" s="40">
        <v>5600000</v>
      </c>
      <c r="F47" s="11"/>
      <c r="M47" s="26" t="s">
        <v>272</v>
      </c>
      <c r="N47" s="35" t="s">
        <v>273</v>
      </c>
      <c r="O47" s="27" t="s">
        <v>47</v>
      </c>
      <c r="P47" s="27" t="s">
        <v>48</v>
      </c>
      <c r="Q47" s="27" t="s">
        <v>49</v>
      </c>
      <c r="R47" s="42">
        <v>106000</v>
      </c>
      <c r="S47" s="28">
        <v>144500</v>
      </c>
      <c r="T47" s="29">
        <v>186500</v>
      </c>
      <c r="U47" s="27" t="b">
        <f>EXACT(Destinos[[#This Row],[VALOR MINI BUS 30 PASAJEROS]],Destinos[[#This Row],[VALOR BUS BUS TURISMO 42 PASAJEROS]])</f>
        <v>0</v>
      </c>
    </row>
    <row r="48" spans="1:21" x14ac:dyDescent="0.25">
      <c r="A48" s="9">
        <v>9722</v>
      </c>
      <c r="B48" s="2" t="s">
        <v>278</v>
      </c>
      <c r="C48" s="2" t="s">
        <v>279</v>
      </c>
      <c r="D48" s="2" t="s">
        <v>43</v>
      </c>
      <c r="E48" s="40">
        <v>2000000</v>
      </c>
      <c r="F48" s="11"/>
      <c r="M48" s="26" t="s">
        <v>276</v>
      </c>
      <c r="N48" s="35" t="s">
        <v>277</v>
      </c>
      <c r="O48" s="27" t="s">
        <v>47</v>
      </c>
      <c r="P48" s="27" t="s">
        <v>48</v>
      </c>
      <c r="Q48" s="27" t="s">
        <v>49</v>
      </c>
      <c r="R48" s="42">
        <v>105813</v>
      </c>
      <c r="S48" s="28">
        <v>144125</v>
      </c>
      <c r="T48" s="29">
        <v>185750</v>
      </c>
      <c r="U48" s="27" t="b">
        <f>EXACT(Destinos[[#This Row],[VALOR MINI BUS 30 PASAJEROS]],Destinos[[#This Row],[VALOR BUS BUS TURISMO 42 PASAJEROS]])</f>
        <v>0</v>
      </c>
    </row>
    <row r="49" spans="1:21" x14ac:dyDescent="0.25">
      <c r="A49" s="9">
        <v>9726</v>
      </c>
      <c r="B49" s="2" t="s">
        <v>282</v>
      </c>
      <c r="C49" s="2" t="s">
        <v>283</v>
      </c>
      <c r="D49" s="2" t="s">
        <v>43</v>
      </c>
      <c r="E49" s="40">
        <v>2500000</v>
      </c>
      <c r="F49" s="11"/>
      <c r="M49" s="26" t="s">
        <v>280</v>
      </c>
      <c r="N49" s="35" t="s">
        <v>281</v>
      </c>
      <c r="O49" s="27" t="s">
        <v>47</v>
      </c>
      <c r="P49" s="27" t="s">
        <v>48</v>
      </c>
      <c r="Q49" s="27" t="s">
        <v>49</v>
      </c>
      <c r="R49" s="42">
        <v>105438</v>
      </c>
      <c r="S49" s="28">
        <v>143375</v>
      </c>
      <c r="T49" s="29">
        <v>184250</v>
      </c>
      <c r="U49" s="27" t="b">
        <f>EXACT(Destinos[[#This Row],[VALOR MINI BUS 30 PASAJEROS]],Destinos[[#This Row],[VALOR BUS BUS TURISMO 42 PASAJEROS]])</f>
        <v>0</v>
      </c>
    </row>
    <row r="50" spans="1:21" ht="30" x14ac:dyDescent="0.25">
      <c r="A50" s="9">
        <v>9727</v>
      </c>
      <c r="B50" s="2" t="s">
        <v>287</v>
      </c>
      <c r="C50" s="2" t="s">
        <v>288</v>
      </c>
      <c r="D50" s="2" t="s">
        <v>43</v>
      </c>
      <c r="E50" s="40">
        <v>2000000</v>
      </c>
      <c r="F50" s="11"/>
      <c r="M50" s="26" t="s">
        <v>284</v>
      </c>
      <c r="N50" s="35" t="s">
        <v>285</v>
      </c>
      <c r="O50" s="27" t="s">
        <v>47</v>
      </c>
      <c r="P50" s="27" t="s">
        <v>286</v>
      </c>
      <c r="Q50" s="27" t="s">
        <v>49</v>
      </c>
      <c r="R50" s="42">
        <v>100188</v>
      </c>
      <c r="S50" s="28">
        <v>132875</v>
      </c>
      <c r="T50" s="29">
        <v>163250</v>
      </c>
      <c r="U50" s="27" t="b">
        <f>EXACT(Destinos[[#This Row],[VALOR MINI BUS 30 PASAJEROS]],Destinos[[#This Row],[VALOR BUS BUS TURISMO 42 PASAJEROS]])</f>
        <v>0</v>
      </c>
    </row>
    <row r="51" spans="1:21" ht="30" x14ac:dyDescent="0.25">
      <c r="A51" s="9">
        <v>9729</v>
      </c>
      <c r="B51" s="2" t="s">
        <v>292</v>
      </c>
      <c r="C51" s="2" t="s">
        <v>293</v>
      </c>
      <c r="D51" s="2" t="s">
        <v>43</v>
      </c>
      <c r="E51" s="40">
        <v>2500000</v>
      </c>
      <c r="F51" s="11"/>
      <c r="M51" s="26" t="s">
        <v>289</v>
      </c>
      <c r="N51" s="35" t="s">
        <v>290</v>
      </c>
      <c r="O51" s="27" t="s">
        <v>47</v>
      </c>
      <c r="P51" s="27" t="s">
        <v>291</v>
      </c>
      <c r="Q51" s="27" t="s">
        <v>49</v>
      </c>
      <c r="R51" s="42">
        <v>106188</v>
      </c>
      <c r="S51" s="28">
        <v>144875</v>
      </c>
      <c r="T51" s="29">
        <v>187250</v>
      </c>
      <c r="U51" s="27" t="b">
        <f>EXACT(Destinos[[#This Row],[VALOR MINI BUS 30 PASAJEROS]],Destinos[[#This Row],[VALOR BUS BUS TURISMO 42 PASAJEROS]])</f>
        <v>0</v>
      </c>
    </row>
    <row r="52" spans="1:21" x14ac:dyDescent="0.25">
      <c r="A52" s="9">
        <v>9730</v>
      </c>
      <c r="B52" s="2" t="s">
        <v>296</v>
      </c>
      <c r="C52" s="2" t="s">
        <v>297</v>
      </c>
      <c r="D52" s="2" t="s">
        <v>52</v>
      </c>
      <c r="E52" s="57">
        <v>2000000</v>
      </c>
      <c r="F52" s="59">
        <v>2000000</v>
      </c>
      <c r="M52" s="26" t="s">
        <v>294</v>
      </c>
      <c r="N52" s="35" t="s">
        <v>295</v>
      </c>
      <c r="O52" s="27" t="s">
        <v>47</v>
      </c>
      <c r="P52" s="27" t="s">
        <v>48</v>
      </c>
      <c r="Q52" s="27" t="s">
        <v>49</v>
      </c>
      <c r="R52" s="42">
        <v>103938</v>
      </c>
      <c r="S52" s="28">
        <v>140375</v>
      </c>
      <c r="T52" s="29">
        <v>178250</v>
      </c>
      <c r="U52" s="27" t="b">
        <f>EXACT(Destinos[[#This Row],[VALOR MINI BUS 30 PASAJEROS]],Destinos[[#This Row],[VALOR BUS BUS TURISMO 42 PASAJEROS]])</f>
        <v>0</v>
      </c>
    </row>
    <row r="53" spans="1:21" x14ac:dyDescent="0.25">
      <c r="A53" s="9">
        <v>9733</v>
      </c>
      <c r="B53" s="2" t="s">
        <v>300</v>
      </c>
      <c r="C53" s="2" t="s">
        <v>301</v>
      </c>
      <c r="D53" s="2" t="s">
        <v>43</v>
      </c>
      <c r="E53" s="56">
        <v>2030000</v>
      </c>
      <c r="F53" s="60"/>
      <c r="M53" s="26" t="s">
        <v>298</v>
      </c>
      <c r="N53" s="35" t="s">
        <v>299</v>
      </c>
      <c r="O53" s="27" t="s">
        <v>47</v>
      </c>
      <c r="P53" s="27" t="s">
        <v>216</v>
      </c>
      <c r="Q53" s="27" t="s">
        <v>49</v>
      </c>
      <c r="R53" s="42">
        <v>106750</v>
      </c>
      <c r="S53" s="28">
        <v>146000</v>
      </c>
      <c r="T53" s="29">
        <v>189500</v>
      </c>
      <c r="U53" s="27" t="b">
        <f>EXACT(Destinos[[#This Row],[VALOR MINI BUS 30 PASAJEROS]],Destinos[[#This Row],[VALOR BUS BUS TURISMO 42 PASAJEROS]])</f>
        <v>0</v>
      </c>
    </row>
    <row r="54" spans="1:21" x14ac:dyDescent="0.25">
      <c r="A54" s="9">
        <v>9734</v>
      </c>
      <c r="B54" s="2" t="s">
        <v>304</v>
      </c>
      <c r="C54" s="2" t="s">
        <v>305</v>
      </c>
      <c r="D54" s="2" t="s">
        <v>43</v>
      </c>
      <c r="E54" s="40">
        <v>3600000</v>
      </c>
      <c r="F54" s="11"/>
      <c r="M54" s="26" t="s">
        <v>302</v>
      </c>
      <c r="N54" s="35" t="s">
        <v>303</v>
      </c>
      <c r="O54" s="27" t="s">
        <v>47</v>
      </c>
      <c r="P54" s="27" t="s">
        <v>48</v>
      </c>
      <c r="Q54" s="27" t="s">
        <v>49</v>
      </c>
      <c r="R54" s="42">
        <v>105438</v>
      </c>
      <c r="S54" s="28">
        <v>143375</v>
      </c>
      <c r="T54" s="29">
        <v>184250</v>
      </c>
      <c r="U54" s="27" t="b">
        <f>EXACT(Destinos[[#This Row],[VALOR MINI BUS 30 PASAJEROS]],Destinos[[#This Row],[VALOR BUS BUS TURISMO 42 PASAJEROS]])</f>
        <v>0</v>
      </c>
    </row>
    <row r="55" spans="1:21" x14ac:dyDescent="0.25">
      <c r="A55" s="9">
        <v>9736</v>
      </c>
      <c r="B55" s="2" t="s">
        <v>308</v>
      </c>
      <c r="C55" s="2" t="s">
        <v>309</v>
      </c>
      <c r="D55" s="2" t="s">
        <v>43</v>
      </c>
      <c r="E55" s="40">
        <v>2500000</v>
      </c>
      <c r="F55" s="11"/>
      <c r="M55" s="26" t="s">
        <v>306</v>
      </c>
      <c r="N55" s="35" t="s">
        <v>307</v>
      </c>
      <c r="O55" s="27" t="s">
        <v>47</v>
      </c>
      <c r="P55" s="27" t="s">
        <v>48</v>
      </c>
      <c r="Q55" s="27" t="s">
        <v>49</v>
      </c>
      <c r="R55" s="42">
        <v>105813</v>
      </c>
      <c r="S55" s="28">
        <v>144125</v>
      </c>
      <c r="T55" s="29">
        <v>185750</v>
      </c>
      <c r="U55" s="27" t="b">
        <f>EXACT(Destinos[[#This Row],[VALOR MINI BUS 30 PASAJEROS]],Destinos[[#This Row],[VALOR BUS BUS TURISMO 42 PASAJEROS]])</f>
        <v>0</v>
      </c>
    </row>
    <row r="56" spans="1:21" x14ac:dyDescent="0.25">
      <c r="A56" s="9">
        <v>9738</v>
      </c>
      <c r="B56" s="2" t="s">
        <v>311</v>
      </c>
      <c r="C56" s="2" t="s">
        <v>312</v>
      </c>
      <c r="D56" s="2" t="s">
        <v>43</v>
      </c>
      <c r="E56" s="40">
        <v>1500000</v>
      </c>
      <c r="F56" s="11"/>
      <c r="M56" s="26" t="s">
        <v>310</v>
      </c>
      <c r="N56" s="35"/>
      <c r="O56" s="27" t="s">
        <v>47</v>
      </c>
      <c r="P56" s="27" t="s">
        <v>48</v>
      </c>
      <c r="Q56" s="27" t="s">
        <v>49</v>
      </c>
      <c r="R56" s="42">
        <v>100188</v>
      </c>
      <c r="S56" s="28">
        <v>132875</v>
      </c>
      <c r="T56" s="29">
        <v>163250</v>
      </c>
      <c r="U56" s="27" t="b">
        <f>EXACT(Destinos[[#This Row],[VALOR MINI BUS 30 PASAJEROS]],Destinos[[#This Row],[VALOR BUS BUS TURISMO 42 PASAJEROS]])</f>
        <v>0</v>
      </c>
    </row>
    <row r="57" spans="1:21" ht="30" x14ac:dyDescent="0.25">
      <c r="A57" s="9">
        <v>9740</v>
      </c>
      <c r="B57" s="2" t="s">
        <v>314</v>
      </c>
      <c r="C57" s="2" t="s">
        <v>315</v>
      </c>
      <c r="D57" s="2" t="s">
        <v>52</v>
      </c>
      <c r="E57" s="57">
        <v>2000000</v>
      </c>
      <c r="F57" s="59">
        <v>2000000</v>
      </c>
      <c r="M57" s="26" t="s">
        <v>313</v>
      </c>
      <c r="N57" s="35"/>
      <c r="O57" s="27" t="s">
        <v>47</v>
      </c>
      <c r="P57" s="27" t="s">
        <v>48</v>
      </c>
      <c r="Q57" s="27" t="s">
        <v>49</v>
      </c>
      <c r="R57" s="42">
        <v>105813</v>
      </c>
      <c r="S57" s="28">
        <v>144125</v>
      </c>
      <c r="T57" s="29">
        <v>185750</v>
      </c>
      <c r="U57" s="27" t="b">
        <f>EXACT(Destinos[[#This Row],[VALOR MINI BUS 30 PASAJEROS]],Destinos[[#This Row],[VALOR BUS BUS TURISMO 42 PASAJEROS]])</f>
        <v>0</v>
      </c>
    </row>
    <row r="58" spans="1:21" x14ac:dyDescent="0.25">
      <c r="A58" s="9">
        <v>9741</v>
      </c>
      <c r="B58" s="2" t="s">
        <v>318</v>
      </c>
      <c r="C58" s="2" t="s">
        <v>319</v>
      </c>
      <c r="D58" s="2" t="s">
        <v>43</v>
      </c>
      <c r="E58" s="56">
        <v>1600000</v>
      </c>
      <c r="F58" s="60"/>
      <c r="M58" s="26" t="s">
        <v>316</v>
      </c>
      <c r="N58" s="35" t="s">
        <v>317</v>
      </c>
      <c r="O58" s="27" t="s">
        <v>47</v>
      </c>
      <c r="P58" s="27" t="s">
        <v>48</v>
      </c>
      <c r="Q58" s="27" t="s">
        <v>49</v>
      </c>
      <c r="R58" s="42">
        <v>104125</v>
      </c>
      <c r="S58" s="28">
        <v>140750</v>
      </c>
      <c r="T58" s="29">
        <v>179000</v>
      </c>
      <c r="U58" s="27" t="b">
        <f>EXACT(Destinos[[#This Row],[VALOR MINI BUS 30 PASAJEROS]],Destinos[[#This Row],[VALOR BUS BUS TURISMO 42 PASAJEROS]])</f>
        <v>0</v>
      </c>
    </row>
    <row r="59" spans="1:21" ht="60" x14ac:dyDescent="0.25">
      <c r="A59" s="9">
        <v>9747</v>
      </c>
      <c r="B59" s="2" t="s">
        <v>322</v>
      </c>
      <c r="C59" s="2" t="s">
        <v>58</v>
      </c>
      <c r="D59" s="2" t="s">
        <v>52</v>
      </c>
      <c r="E59" s="57">
        <v>1000000</v>
      </c>
      <c r="F59" s="59">
        <v>1000000</v>
      </c>
      <c r="M59" s="26" t="s">
        <v>320</v>
      </c>
      <c r="N59" s="35" t="s">
        <v>321</v>
      </c>
      <c r="O59" s="27" t="s">
        <v>47</v>
      </c>
      <c r="P59" s="27" t="s">
        <v>48</v>
      </c>
      <c r="Q59" s="27" t="s">
        <v>49</v>
      </c>
      <c r="R59" s="42">
        <v>104688</v>
      </c>
      <c r="S59" s="28">
        <v>141875</v>
      </c>
      <c r="T59" s="29">
        <v>181250</v>
      </c>
      <c r="U59" s="27" t="b">
        <f>EXACT(Destinos[[#This Row],[VALOR MINI BUS 30 PASAJEROS]],Destinos[[#This Row],[VALOR BUS BUS TURISMO 42 PASAJEROS]])</f>
        <v>0</v>
      </c>
    </row>
    <row r="60" spans="1:21" ht="30" x14ac:dyDescent="0.25">
      <c r="A60" s="9">
        <v>12103</v>
      </c>
      <c r="B60" s="2" t="s">
        <v>325</v>
      </c>
      <c r="C60" s="2" t="s">
        <v>326</v>
      </c>
      <c r="D60" s="2" t="s">
        <v>52</v>
      </c>
      <c r="E60" s="3">
        <v>1000000</v>
      </c>
      <c r="F60" s="41">
        <v>1000000</v>
      </c>
      <c r="M60" s="26" t="s">
        <v>323</v>
      </c>
      <c r="N60" s="35" t="s">
        <v>324</v>
      </c>
      <c r="O60" s="27" t="s">
        <v>47</v>
      </c>
      <c r="P60" s="27" t="s">
        <v>164</v>
      </c>
      <c r="Q60" s="27" t="s">
        <v>49</v>
      </c>
      <c r="R60" s="42">
        <v>102063</v>
      </c>
      <c r="S60" s="28">
        <v>136625</v>
      </c>
      <c r="T60" s="29">
        <v>170750</v>
      </c>
      <c r="U60" s="27" t="b">
        <f>EXACT(Destinos[[#This Row],[VALOR MINI BUS 30 PASAJEROS]],Destinos[[#This Row],[VALOR BUS BUS TURISMO 42 PASAJEROS]])</f>
        <v>0</v>
      </c>
    </row>
    <row r="61" spans="1:21" x14ac:dyDescent="0.25">
      <c r="A61" s="9">
        <v>25173</v>
      </c>
      <c r="B61" s="2" t="s">
        <v>329</v>
      </c>
      <c r="C61" s="2" t="s">
        <v>330</v>
      </c>
      <c r="D61" s="2" t="s">
        <v>43</v>
      </c>
      <c r="E61" s="56">
        <v>2500000</v>
      </c>
      <c r="F61" s="60"/>
      <c r="M61" s="26" t="s">
        <v>327</v>
      </c>
      <c r="N61" s="35" t="s">
        <v>328</v>
      </c>
      <c r="O61" s="27" t="s">
        <v>47</v>
      </c>
      <c r="P61" s="27" t="s">
        <v>144</v>
      </c>
      <c r="Q61" s="27" t="s">
        <v>49</v>
      </c>
      <c r="R61" s="42">
        <v>103000</v>
      </c>
      <c r="S61" s="28">
        <v>138500</v>
      </c>
      <c r="T61" s="29">
        <v>174500</v>
      </c>
      <c r="U61" s="27" t="b">
        <f>EXACT(Destinos[[#This Row],[VALOR MINI BUS 30 PASAJEROS]],Destinos[[#This Row],[VALOR BUS BUS TURISMO 42 PASAJEROS]])</f>
        <v>0</v>
      </c>
    </row>
    <row r="62" spans="1:21" ht="30" x14ac:dyDescent="0.25">
      <c r="A62" s="14" t="s">
        <v>23</v>
      </c>
      <c r="B62" s="55" t="s">
        <v>333</v>
      </c>
      <c r="C62" s="55"/>
      <c r="D62" s="2" t="s">
        <v>334</v>
      </c>
      <c r="E62" s="57" t="s">
        <v>335</v>
      </c>
      <c r="F62" s="15"/>
      <c r="M62" s="26" t="s">
        <v>331</v>
      </c>
      <c r="N62" s="35" t="s">
        <v>332</v>
      </c>
      <c r="O62" s="27" t="s">
        <v>47</v>
      </c>
      <c r="P62" s="27" t="s">
        <v>95</v>
      </c>
      <c r="Q62" s="27" t="s">
        <v>49</v>
      </c>
      <c r="R62" s="42">
        <v>106563</v>
      </c>
      <c r="S62" s="28">
        <v>145625</v>
      </c>
      <c r="T62" s="29">
        <v>188750</v>
      </c>
      <c r="U62" s="27" t="b">
        <f>EXACT(Destinos[[#This Row],[VALOR MINI BUS 30 PASAJEROS]],Destinos[[#This Row],[VALOR BUS BUS TURISMO 42 PASAJEROS]])</f>
        <v>0</v>
      </c>
    </row>
    <row r="63" spans="1:21" ht="30" x14ac:dyDescent="0.25">
      <c r="A63" s="1"/>
      <c r="B63" s="2"/>
      <c r="C63" s="2"/>
      <c r="D63" s="2"/>
      <c r="E63" s="3"/>
      <c r="F63" s="4"/>
      <c r="M63" s="26" t="s">
        <v>336</v>
      </c>
      <c r="N63" s="35" t="s">
        <v>337</v>
      </c>
      <c r="O63" s="27" t="s">
        <v>47</v>
      </c>
      <c r="P63" s="27" t="s">
        <v>338</v>
      </c>
      <c r="Q63" s="27" t="s">
        <v>49</v>
      </c>
      <c r="R63" s="42">
        <v>108625</v>
      </c>
      <c r="S63" s="28">
        <v>149750</v>
      </c>
      <c r="T63" s="29">
        <v>197000</v>
      </c>
      <c r="U63" s="27" t="b">
        <f>EXACT(Destinos[[#This Row],[VALOR MINI BUS 30 PASAJEROS]],Destinos[[#This Row],[VALOR BUS BUS TURISMO 42 PASAJEROS]])</f>
        <v>0</v>
      </c>
    </row>
    <row r="64" spans="1:21" x14ac:dyDescent="0.25">
      <c r="A64" s="6" t="s">
        <v>19</v>
      </c>
      <c r="B64" s="7"/>
      <c r="C64" s="7"/>
      <c r="D64" s="7"/>
      <c r="E64" s="8">
        <v>147900000</v>
      </c>
      <c r="F64" s="8">
        <v>12600000</v>
      </c>
      <c r="M64" s="26" t="s">
        <v>339</v>
      </c>
      <c r="N64" s="35" t="s">
        <v>340</v>
      </c>
      <c r="O64" s="27" t="s">
        <v>47</v>
      </c>
      <c r="P64" s="27" t="s">
        <v>286</v>
      </c>
      <c r="Q64" s="27" t="s">
        <v>49</v>
      </c>
      <c r="R64" s="42">
        <v>100938</v>
      </c>
      <c r="S64" s="28">
        <v>134375</v>
      </c>
      <c r="T64" s="29">
        <v>166250</v>
      </c>
      <c r="U64" s="27" t="b">
        <f>EXACT(Destinos[[#This Row],[VALOR MINI BUS 30 PASAJEROS]],Destinos[[#This Row],[VALOR BUS BUS TURISMO 42 PASAJEROS]])</f>
        <v>0</v>
      </c>
    </row>
    <row r="65" spans="1:21" x14ac:dyDescent="0.25">
      <c r="M65" s="26" t="s">
        <v>341</v>
      </c>
      <c r="N65" s="35" t="s">
        <v>342</v>
      </c>
      <c r="O65" s="27" t="s">
        <v>47</v>
      </c>
      <c r="P65" s="27" t="s">
        <v>68</v>
      </c>
      <c r="Q65" s="27" t="s">
        <v>49</v>
      </c>
      <c r="R65" s="42">
        <v>106188</v>
      </c>
      <c r="S65" s="28">
        <v>144875</v>
      </c>
      <c r="T65" s="29">
        <v>187250</v>
      </c>
      <c r="U65" s="27" t="b">
        <f>EXACT(Destinos[[#This Row],[VALOR MINI BUS 30 PASAJEROS]],Destinos[[#This Row],[VALOR BUS BUS TURISMO 42 PASAJEROS]])</f>
        <v>0</v>
      </c>
    </row>
    <row r="66" spans="1:21" x14ac:dyDescent="0.25">
      <c r="M66" s="26" t="s">
        <v>343</v>
      </c>
      <c r="N66" s="35"/>
      <c r="O66" s="27" t="s">
        <v>47</v>
      </c>
      <c r="P66" s="27" t="s">
        <v>48</v>
      </c>
      <c r="Q66" s="27" t="s">
        <v>49</v>
      </c>
      <c r="R66" s="42">
        <v>106000</v>
      </c>
      <c r="S66" s="28">
        <v>144500</v>
      </c>
      <c r="T66" s="29">
        <v>186500</v>
      </c>
      <c r="U66" s="27" t="b">
        <f>EXACT(Destinos[[#This Row],[VALOR MINI BUS 30 PASAJEROS]],Destinos[[#This Row],[VALOR BUS BUS TURISMO 42 PASAJEROS]])</f>
        <v>0</v>
      </c>
    </row>
    <row r="67" spans="1:21" x14ac:dyDescent="0.25">
      <c r="M67" s="26" t="s">
        <v>344</v>
      </c>
      <c r="N67" s="35" t="s">
        <v>345</v>
      </c>
      <c r="O67" s="27" t="s">
        <v>47</v>
      </c>
      <c r="P67" s="27" t="s">
        <v>346</v>
      </c>
      <c r="Q67" s="27" t="s">
        <v>49</v>
      </c>
      <c r="R67" s="42">
        <v>112750</v>
      </c>
      <c r="S67" s="28">
        <v>158000</v>
      </c>
      <c r="T67" s="29">
        <v>213500</v>
      </c>
      <c r="U67" s="27" t="b">
        <f>EXACT(Destinos[[#This Row],[VALOR MINI BUS 30 PASAJEROS]],Destinos[[#This Row],[VALOR BUS BUS TURISMO 42 PASAJEROS]])</f>
        <v>0</v>
      </c>
    </row>
    <row r="68" spans="1:21" ht="30" x14ac:dyDescent="0.25">
      <c r="A68" s="45" t="s">
        <v>3</v>
      </c>
      <c r="B68" s="49" t="s">
        <v>350</v>
      </c>
      <c r="C68" s="49"/>
      <c r="D68" s="49" t="s">
        <v>351</v>
      </c>
      <c r="M68" s="26" t="s">
        <v>347</v>
      </c>
      <c r="N68" s="35" t="s">
        <v>348</v>
      </c>
      <c r="O68" s="27" t="s">
        <v>47</v>
      </c>
      <c r="P68" s="27" t="s">
        <v>349</v>
      </c>
      <c r="Q68" s="27" t="s">
        <v>49</v>
      </c>
      <c r="R68" s="42">
        <v>105438</v>
      </c>
      <c r="S68" s="28">
        <v>143375</v>
      </c>
      <c r="T68" s="29">
        <v>184250</v>
      </c>
      <c r="U68" s="27" t="b">
        <f>EXACT(Destinos[[#This Row],[VALOR MINI BUS 30 PASAJEROS]],Destinos[[#This Row],[VALOR BUS BUS TURISMO 42 PASAJEROS]])</f>
        <v>0</v>
      </c>
    </row>
    <row r="69" spans="1:21" ht="30" x14ac:dyDescent="0.25">
      <c r="A69" s="46">
        <v>9693</v>
      </c>
      <c r="B69" s="50" t="s">
        <v>355</v>
      </c>
      <c r="C69" s="50"/>
      <c r="D69" s="50" t="s">
        <v>218</v>
      </c>
      <c r="M69" s="26" t="s">
        <v>352</v>
      </c>
      <c r="N69" s="35" t="s">
        <v>353</v>
      </c>
      <c r="O69" s="27" t="s">
        <v>47</v>
      </c>
      <c r="P69" s="27" t="s">
        <v>354</v>
      </c>
      <c r="Q69" s="27" t="s">
        <v>49</v>
      </c>
      <c r="R69" s="42">
        <v>99063</v>
      </c>
      <c r="S69" s="28">
        <v>130625</v>
      </c>
      <c r="T69" s="29">
        <v>158750</v>
      </c>
      <c r="U69" s="27" t="b">
        <f>EXACT(Destinos[[#This Row],[VALOR MINI BUS 30 PASAJEROS]],Destinos[[#This Row],[VALOR BUS BUS TURISMO 42 PASAJEROS]])</f>
        <v>0</v>
      </c>
    </row>
    <row r="70" spans="1:21" ht="30" x14ac:dyDescent="0.25">
      <c r="A70" s="47">
        <v>9699</v>
      </c>
      <c r="B70" s="51" t="s">
        <v>358</v>
      </c>
      <c r="C70" s="51"/>
      <c r="D70" s="51" t="s">
        <v>231</v>
      </c>
      <c r="M70" s="26" t="s">
        <v>356</v>
      </c>
      <c r="N70" s="35" t="s">
        <v>357</v>
      </c>
      <c r="O70" s="27" t="s">
        <v>47</v>
      </c>
      <c r="P70" s="27" t="s">
        <v>349</v>
      </c>
      <c r="Q70" s="27" t="s">
        <v>49</v>
      </c>
      <c r="R70" s="42">
        <v>105438</v>
      </c>
      <c r="S70" s="28">
        <v>143375</v>
      </c>
      <c r="T70" s="29">
        <v>184250</v>
      </c>
      <c r="U70" s="27" t="b">
        <f>EXACT(Destinos[[#This Row],[VALOR MINI BUS 30 PASAJEROS]],Destinos[[#This Row],[VALOR BUS BUS TURISMO 42 PASAJEROS]])</f>
        <v>0</v>
      </c>
    </row>
    <row r="71" spans="1:21" ht="30" x14ac:dyDescent="0.25">
      <c r="A71" s="46">
        <v>9700</v>
      </c>
      <c r="B71" s="52" t="s">
        <v>361</v>
      </c>
      <c r="C71" s="52"/>
      <c r="D71" s="52" t="s">
        <v>235</v>
      </c>
      <c r="M71" s="26" t="s">
        <v>359</v>
      </c>
      <c r="N71" s="35" t="s">
        <v>360</v>
      </c>
      <c r="O71" s="27" t="s">
        <v>47</v>
      </c>
      <c r="P71" s="27" t="s">
        <v>48</v>
      </c>
      <c r="Q71" s="27" t="s">
        <v>49</v>
      </c>
      <c r="R71" s="42">
        <v>104125</v>
      </c>
      <c r="S71" s="28">
        <v>140750</v>
      </c>
      <c r="T71" s="29">
        <v>179000</v>
      </c>
      <c r="U71" s="27" t="b">
        <f>EXACT(Destinos[[#This Row],[VALOR MINI BUS 30 PASAJEROS]],Destinos[[#This Row],[VALOR BUS BUS TURISMO 42 PASAJEROS]])</f>
        <v>0</v>
      </c>
    </row>
    <row r="72" spans="1:21" ht="30" x14ac:dyDescent="0.25">
      <c r="A72" s="47">
        <v>9701</v>
      </c>
      <c r="B72" s="51" t="s">
        <v>364</v>
      </c>
      <c r="C72" s="51"/>
      <c r="D72" s="51" t="s">
        <v>239</v>
      </c>
      <c r="M72" s="26" t="s">
        <v>362</v>
      </c>
      <c r="N72" s="35" t="s">
        <v>363</v>
      </c>
      <c r="O72" s="27" t="s">
        <v>47</v>
      </c>
      <c r="P72" s="27" t="s">
        <v>81</v>
      </c>
      <c r="Q72" s="27" t="s">
        <v>49</v>
      </c>
      <c r="R72" s="42">
        <v>104688</v>
      </c>
      <c r="S72" s="28">
        <v>141875</v>
      </c>
      <c r="T72" s="29">
        <v>181250</v>
      </c>
      <c r="U72" s="27" t="b">
        <f>EXACT(Destinos[[#This Row],[VALOR MINI BUS 30 PASAJEROS]],Destinos[[#This Row],[VALOR BUS BUS TURISMO 42 PASAJEROS]])</f>
        <v>0</v>
      </c>
    </row>
    <row r="73" spans="1:21" x14ac:dyDescent="0.25">
      <c r="A73" s="46">
        <v>9703</v>
      </c>
      <c r="B73" s="53" t="s">
        <v>367</v>
      </c>
      <c r="C73" s="53"/>
      <c r="D73" s="53" t="s">
        <v>243</v>
      </c>
      <c r="M73" s="26" t="s">
        <v>365</v>
      </c>
      <c r="N73" s="63" t="s">
        <v>366</v>
      </c>
      <c r="O73" s="27" t="s">
        <v>47</v>
      </c>
      <c r="P73" s="27" t="s">
        <v>150</v>
      </c>
      <c r="Q73" s="27" t="s">
        <v>49</v>
      </c>
      <c r="R73" s="42">
        <v>100938</v>
      </c>
      <c r="S73" s="28">
        <v>134375</v>
      </c>
      <c r="T73" s="29">
        <v>166250</v>
      </c>
      <c r="U73" s="27" t="b">
        <f>EXACT(Destinos[[#This Row],[VALOR MINI BUS 30 PASAJEROS]],Destinos[[#This Row],[VALOR BUS BUS TURISMO 42 PASAJEROS]])</f>
        <v>0</v>
      </c>
    </row>
    <row r="74" spans="1:21" x14ac:dyDescent="0.25">
      <c r="A74" s="47">
        <v>9706</v>
      </c>
      <c r="B74" s="51" t="s">
        <v>370</v>
      </c>
      <c r="C74" s="51"/>
      <c r="D74" s="51" t="s">
        <v>255</v>
      </c>
      <c r="M74" s="26" t="s">
        <v>368</v>
      </c>
      <c r="N74" s="63" t="s">
        <v>369</v>
      </c>
      <c r="O74" s="27" t="s">
        <v>47</v>
      </c>
      <c r="P74" s="27" t="s">
        <v>68</v>
      </c>
      <c r="Q74" s="27" t="s">
        <v>49</v>
      </c>
      <c r="R74" s="42">
        <v>105250</v>
      </c>
      <c r="S74" s="28">
        <v>143000</v>
      </c>
      <c r="T74" s="29">
        <v>183500</v>
      </c>
      <c r="U74" s="27" t="b">
        <f>EXACT(Destinos[[#This Row],[VALOR MINI BUS 30 PASAJEROS]],Destinos[[#This Row],[VALOR BUS BUS TURISMO 42 PASAJEROS]])</f>
        <v>0</v>
      </c>
    </row>
    <row r="75" spans="1:21" x14ac:dyDescent="0.25">
      <c r="A75" s="46">
        <v>9722</v>
      </c>
      <c r="B75" s="53" t="s">
        <v>373</v>
      </c>
      <c r="C75" s="53"/>
      <c r="D75" s="53" t="s">
        <v>279</v>
      </c>
      <c r="M75" s="26" t="s">
        <v>371</v>
      </c>
      <c r="N75" t="s">
        <v>372</v>
      </c>
      <c r="O75" s="27" t="s">
        <v>47</v>
      </c>
      <c r="P75" s="27" t="s">
        <v>74</v>
      </c>
      <c r="Q75" s="27" t="s">
        <v>49</v>
      </c>
      <c r="R75" s="42">
        <v>109750</v>
      </c>
      <c r="S75" s="28">
        <v>152000</v>
      </c>
      <c r="T75" s="29">
        <v>201500</v>
      </c>
      <c r="U75" s="27" t="b">
        <f>EXACT(Destinos[[#This Row],[VALOR MINI BUS 30 PASAJEROS]],Destinos[[#This Row],[VALOR BUS BUS TURISMO 42 PASAJEROS]])</f>
        <v>0</v>
      </c>
    </row>
    <row r="76" spans="1:21" ht="30" x14ac:dyDescent="0.25">
      <c r="A76" s="47">
        <v>9730</v>
      </c>
      <c r="B76" s="54" t="s">
        <v>377</v>
      </c>
      <c r="C76" s="54"/>
      <c r="D76" s="54" t="s">
        <v>297</v>
      </c>
      <c r="M76" s="26" t="s">
        <v>374</v>
      </c>
      <c r="N76" t="s">
        <v>375</v>
      </c>
      <c r="O76" s="27" t="s">
        <v>47</v>
      </c>
      <c r="P76" s="27" t="s">
        <v>376</v>
      </c>
      <c r="Q76" s="27" t="s">
        <v>49</v>
      </c>
      <c r="R76" s="42">
        <v>105438</v>
      </c>
      <c r="S76" s="28">
        <v>143375</v>
      </c>
      <c r="T76" s="29">
        <v>184250</v>
      </c>
      <c r="U76" s="27" t="b">
        <f>EXACT(Destinos[[#This Row],[VALOR MINI BUS 30 PASAJEROS]],Destinos[[#This Row],[VALOR BUS BUS TURISMO 42 PASAJEROS]])</f>
        <v>0</v>
      </c>
    </row>
    <row r="77" spans="1:21" ht="30" x14ac:dyDescent="0.25">
      <c r="A77" s="46">
        <v>9690</v>
      </c>
      <c r="B77" s="50" t="s">
        <v>380</v>
      </c>
      <c r="C77" s="50"/>
      <c r="D77" s="50" t="s">
        <v>213</v>
      </c>
      <c r="M77" s="26" t="s">
        <v>378</v>
      </c>
      <c r="N77" s="35" t="s">
        <v>518</v>
      </c>
      <c r="O77" s="27" t="s">
        <v>47</v>
      </c>
      <c r="P77" s="27" t="s">
        <v>138</v>
      </c>
      <c r="Q77" s="27" t="s">
        <v>49</v>
      </c>
      <c r="R77" s="42">
        <v>100563</v>
      </c>
      <c r="S77" s="28">
        <v>133625</v>
      </c>
      <c r="T77" s="29">
        <v>164750</v>
      </c>
      <c r="U77" s="27" t="b">
        <f>EXACT(Destinos[[#This Row],[VALOR MINI BUS 30 PASAJEROS]],Destinos[[#This Row],[VALOR BUS BUS TURISMO 42 PASAJEROS]])</f>
        <v>0</v>
      </c>
    </row>
    <row r="78" spans="1:21" x14ac:dyDescent="0.25">
      <c r="A78" s="47">
        <v>9697</v>
      </c>
      <c r="B78" s="50" t="s">
        <v>383</v>
      </c>
      <c r="C78" s="50"/>
      <c r="D78" s="50" t="s">
        <v>226</v>
      </c>
      <c r="M78" s="26" t="s">
        <v>381</v>
      </c>
      <c r="N78" s="35" t="s">
        <v>519</v>
      </c>
      <c r="O78" s="27" t="s">
        <v>47</v>
      </c>
      <c r="P78" s="27" t="s">
        <v>382</v>
      </c>
      <c r="Q78" s="27" t="s">
        <v>49</v>
      </c>
      <c r="R78" s="42">
        <v>100188</v>
      </c>
      <c r="S78" s="28">
        <v>132875</v>
      </c>
      <c r="T78" s="29">
        <v>163250</v>
      </c>
      <c r="U78" s="27" t="b">
        <f>EXACT(Destinos[[#This Row],[VALOR MINI BUS 30 PASAJEROS]],Destinos[[#This Row],[VALOR BUS BUS TURISMO 42 PASAJEROS]])</f>
        <v>0</v>
      </c>
    </row>
    <row r="79" spans="1:21" x14ac:dyDescent="0.25">
      <c r="A79" s="46">
        <v>9705</v>
      </c>
      <c r="B79" s="53" t="s">
        <v>385</v>
      </c>
      <c r="C79" s="53"/>
      <c r="D79" s="53" t="s">
        <v>251</v>
      </c>
      <c r="M79" s="26" t="s">
        <v>384</v>
      </c>
      <c r="N79" s="35" t="s">
        <v>520</v>
      </c>
      <c r="O79" s="27" t="s">
        <v>47</v>
      </c>
      <c r="P79" s="27" t="s">
        <v>101</v>
      </c>
      <c r="Q79" s="27" t="s">
        <v>49</v>
      </c>
      <c r="R79" s="42">
        <v>100188</v>
      </c>
      <c r="S79" s="28">
        <v>132875</v>
      </c>
      <c r="T79" s="29">
        <v>163250</v>
      </c>
      <c r="U79" s="27" t="b">
        <f>EXACT(Destinos[[#This Row],[VALOR MINI BUS 30 PASAJEROS]],Destinos[[#This Row],[VALOR BUS BUS TURISMO 42 PASAJEROS]])</f>
        <v>0</v>
      </c>
    </row>
    <row r="80" spans="1:21" x14ac:dyDescent="0.25">
      <c r="A80" s="47">
        <v>9709</v>
      </c>
      <c r="B80" s="51" t="s">
        <v>387</v>
      </c>
      <c r="C80" s="51"/>
      <c r="D80" s="51" t="s">
        <v>260</v>
      </c>
      <c r="M80" s="26" t="s">
        <v>386</v>
      </c>
      <c r="N80" s="35"/>
      <c r="O80" s="27" t="s">
        <v>47</v>
      </c>
      <c r="P80" s="27" t="s">
        <v>48</v>
      </c>
      <c r="Q80" s="27" t="s">
        <v>49</v>
      </c>
      <c r="R80" s="42">
        <v>104688</v>
      </c>
      <c r="S80" s="28">
        <v>141875</v>
      </c>
      <c r="T80" s="29">
        <v>181250</v>
      </c>
      <c r="U80" s="27" t="b">
        <f>EXACT(Destinos[[#This Row],[VALOR MINI BUS 30 PASAJEROS]],Destinos[[#This Row],[VALOR BUS BUS TURISMO 42 PASAJEROS]])</f>
        <v>0</v>
      </c>
    </row>
    <row r="81" spans="1:21" x14ac:dyDescent="0.25">
      <c r="A81" s="46">
        <v>9710</v>
      </c>
      <c r="B81" s="53" t="s">
        <v>389</v>
      </c>
      <c r="C81" s="53"/>
      <c r="D81" s="53" t="s">
        <v>264</v>
      </c>
      <c r="M81" s="26" t="s">
        <v>388</v>
      </c>
      <c r="N81" s="35" t="s">
        <v>521</v>
      </c>
      <c r="O81" s="27" t="s">
        <v>47</v>
      </c>
      <c r="P81" s="27" t="s">
        <v>48</v>
      </c>
      <c r="Q81" s="27" t="s">
        <v>49</v>
      </c>
      <c r="R81" s="42">
        <v>103000</v>
      </c>
      <c r="S81" s="28">
        <v>138500</v>
      </c>
      <c r="T81" s="29">
        <v>174500</v>
      </c>
      <c r="U81" s="27" t="b">
        <f>EXACT(Destinos[[#This Row],[VALOR MINI BUS 30 PASAJEROS]],Destinos[[#This Row],[VALOR BUS BUS TURISMO 42 PASAJEROS]])</f>
        <v>0</v>
      </c>
    </row>
    <row r="82" spans="1:21" x14ac:dyDescent="0.25">
      <c r="A82" s="47">
        <v>9716</v>
      </c>
      <c r="B82" s="51" t="s">
        <v>391</v>
      </c>
      <c r="C82" s="51"/>
      <c r="D82" s="51" t="s">
        <v>268</v>
      </c>
      <c r="M82" s="26" t="s">
        <v>390</v>
      </c>
      <c r="N82" s="35" t="s">
        <v>522</v>
      </c>
      <c r="O82" s="27" t="s">
        <v>47</v>
      </c>
      <c r="P82" s="27" t="s">
        <v>48</v>
      </c>
      <c r="Q82" s="27" t="s">
        <v>49</v>
      </c>
      <c r="R82" s="42">
        <v>103563</v>
      </c>
      <c r="S82" s="28">
        <v>139625</v>
      </c>
      <c r="T82" s="29">
        <v>176750</v>
      </c>
      <c r="U82" s="27" t="b">
        <f>EXACT(Destinos[[#This Row],[VALOR MINI BUS 30 PASAJEROS]],Destinos[[#This Row],[VALOR BUS BUS TURISMO 42 PASAJEROS]])</f>
        <v>0</v>
      </c>
    </row>
    <row r="83" spans="1:21" ht="30" x14ac:dyDescent="0.25">
      <c r="A83" s="46">
        <v>9719</v>
      </c>
      <c r="B83" s="53" t="s">
        <v>393</v>
      </c>
      <c r="C83" s="53"/>
      <c r="D83" s="53" t="s">
        <v>271</v>
      </c>
      <c r="M83" s="26" t="s">
        <v>392</v>
      </c>
      <c r="N83" s="35" t="s">
        <v>523</v>
      </c>
      <c r="O83" s="27" t="s">
        <v>47</v>
      </c>
      <c r="P83" s="27" t="s">
        <v>48</v>
      </c>
      <c r="Q83" s="27" t="s">
        <v>49</v>
      </c>
      <c r="R83" s="42">
        <v>103750</v>
      </c>
      <c r="S83" s="28">
        <v>140000</v>
      </c>
      <c r="T83" s="29">
        <v>177500</v>
      </c>
      <c r="U83" s="27" t="b">
        <f>EXACT(Destinos[[#This Row],[VALOR MINI BUS 30 PASAJEROS]],Destinos[[#This Row],[VALOR BUS BUS TURISMO 42 PASAJEROS]])</f>
        <v>0</v>
      </c>
    </row>
    <row r="84" spans="1:21" x14ac:dyDescent="0.25">
      <c r="A84" s="47">
        <v>9720</v>
      </c>
      <c r="B84" s="51" t="s">
        <v>395</v>
      </c>
      <c r="C84" s="51"/>
      <c r="D84" s="51" t="s">
        <v>275</v>
      </c>
      <c r="M84" s="26" t="s">
        <v>394</v>
      </c>
      <c r="N84" s="35" t="s">
        <v>524</v>
      </c>
      <c r="O84" s="27" t="s">
        <v>47</v>
      </c>
      <c r="P84" s="27" t="s">
        <v>291</v>
      </c>
      <c r="Q84" s="27" t="s">
        <v>49</v>
      </c>
      <c r="R84" s="42">
        <v>106938</v>
      </c>
      <c r="S84" s="28">
        <v>146375</v>
      </c>
      <c r="T84" s="29">
        <v>190250</v>
      </c>
      <c r="U84" s="27" t="b">
        <f>EXACT(Destinos[[#This Row],[VALOR MINI BUS 30 PASAJEROS]],Destinos[[#This Row],[VALOR BUS BUS TURISMO 42 PASAJEROS]])</f>
        <v>0</v>
      </c>
    </row>
    <row r="85" spans="1:21" x14ac:dyDescent="0.25">
      <c r="A85" s="46">
        <v>9726</v>
      </c>
      <c r="B85" s="50" t="s">
        <v>397</v>
      </c>
      <c r="C85" s="50"/>
      <c r="D85" s="50" t="s">
        <v>283</v>
      </c>
      <c r="M85" s="26" t="s">
        <v>396</v>
      </c>
      <c r="N85" s="35" t="s">
        <v>525</v>
      </c>
      <c r="O85" s="27" t="s">
        <v>47</v>
      </c>
      <c r="P85" s="27" t="s">
        <v>48</v>
      </c>
      <c r="Q85" s="27" t="s">
        <v>49</v>
      </c>
      <c r="R85" s="42">
        <v>104875</v>
      </c>
      <c r="S85" s="28">
        <v>142250</v>
      </c>
      <c r="T85" s="29">
        <v>182000</v>
      </c>
      <c r="U85" s="27" t="b">
        <f>EXACT(Destinos[[#This Row],[VALOR MINI BUS 30 PASAJEROS]],Destinos[[#This Row],[VALOR BUS BUS TURISMO 42 PASAJEROS]])</f>
        <v>0</v>
      </c>
    </row>
    <row r="86" spans="1:21" x14ac:dyDescent="0.25">
      <c r="A86" s="47">
        <v>9733</v>
      </c>
      <c r="B86" s="51" t="s">
        <v>399</v>
      </c>
      <c r="C86" s="51"/>
      <c r="D86" s="51" t="s">
        <v>301</v>
      </c>
      <c r="M86" s="26" t="s">
        <v>398</v>
      </c>
      <c r="N86" s="35" t="s">
        <v>526</v>
      </c>
      <c r="O86" s="27" t="s">
        <v>47</v>
      </c>
      <c r="P86" s="27" t="s">
        <v>376</v>
      </c>
      <c r="Q86" s="27" t="s">
        <v>49</v>
      </c>
      <c r="R86" s="42">
        <v>104688</v>
      </c>
      <c r="S86" s="28">
        <v>141875</v>
      </c>
      <c r="T86" s="29">
        <v>181250</v>
      </c>
      <c r="U86" s="27" t="b">
        <f>EXACT(Destinos[[#This Row],[VALOR MINI BUS 30 PASAJEROS]],Destinos[[#This Row],[VALOR BUS BUS TURISMO 42 PASAJEROS]])</f>
        <v>0</v>
      </c>
    </row>
    <row r="87" spans="1:21" ht="150" x14ac:dyDescent="0.25">
      <c r="A87" s="46">
        <v>9734</v>
      </c>
      <c r="B87" s="53" t="s">
        <v>401</v>
      </c>
      <c r="C87" s="53"/>
      <c r="D87" s="53" t="s">
        <v>305</v>
      </c>
      <c r="M87" s="26" t="s">
        <v>400</v>
      </c>
      <c r="N87" s="35" t="s">
        <v>527</v>
      </c>
      <c r="O87" s="27" t="s">
        <v>47</v>
      </c>
      <c r="P87" s="27" t="s">
        <v>197</v>
      </c>
      <c r="Q87" s="27" t="s">
        <v>49</v>
      </c>
      <c r="R87" s="42">
        <v>103750</v>
      </c>
      <c r="S87" s="28">
        <v>140000</v>
      </c>
      <c r="T87" s="29">
        <v>177500</v>
      </c>
      <c r="U87" s="27" t="b">
        <f>EXACT(Destinos[[#This Row],[VALOR MINI BUS 30 PASAJEROS]],Destinos[[#This Row],[VALOR BUS BUS TURISMO 42 PASAJEROS]])</f>
        <v>0</v>
      </c>
    </row>
    <row r="88" spans="1:21" x14ac:dyDescent="0.25">
      <c r="A88" s="47">
        <v>9736</v>
      </c>
      <c r="B88" s="51" t="s">
        <v>403</v>
      </c>
      <c r="C88" s="51"/>
      <c r="D88" s="51" t="s">
        <v>309</v>
      </c>
      <c r="M88" s="26" t="s">
        <v>402</v>
      </c>
      <c r="N88" s="35" t="s">
        <v>528</v>
      </c>
      <c r="O88" s="27" t="s">
        <v>47</v>
      </c>
      <c r="P88" s="27" t="s">
        <v>202</v>
      </c>
      <c r="Q88" s="27" t="s">
        <v>49</v>
      </c>
      <c r="R88" s="42">
        <v>109313</v>
      </c>
      <c r="S88" s="28">
        <v>146125</v>
      </c>
      <c r="T88" s="29">
        <v>184750</v>
      </c>
      <c r="U88" s="27" t="b">
        <f>EXACT(Destinos[[#This Row],[VALOR MINI BUS 30 PASAJEROS]],Destinos[[#This Row],[VALOR BUS BUS TURISMO 42 PASAJEROS]])</f>
        <v>0</v>
      </c>
    </row>
    <row r="89" spans="1:21" ht="30" x14ac:dyDescent="0.25">
      <c r="A89" s="46">
        <v>9740</v>
      </c>
      <c r="B89" s="53" t="s">
        <v>407</v>
      </c>
      <c r="C89" s="53"/>
      <c r="D89" s="53" t="s">
        <v>315</v>
      </c>
      <c r="M89" s="26" t="s">
        <v>404</v>
      </c>
      <c r="N89" s="35" t="s">
        <v>529</v>
      </c>
      <c r="O89" s="27" t="s">
        <v>405</v>
      </c>
      <c r="P89" s="27" t="s">
        <v>406</v>
      </c>
      <c r="Q89" s="27" t="s">
        <v>49</v>
      </c>
      <c r="R89" s="42">
        <v>129000</v>
      </c>
      <c r="S89" s="28">
        <v>173000</v>
      </c>
      <c r="T89" s="29">
        <v>222500</v>
      </c>
      <c r="U89" s="27" t="b">
        <f>EXACT(Destinos[[#This Row],[VALOR MINI BUS 30 PASAJEROS]],Destinos[[#This Row],[VALOR BUS BUS TURISMO 42 PASAJEROS]])</f>
        <v>0</v>
      </c>
    </row>
    <row r="90" spans="1:21" ht="135" x14ac:dyDescent="0.25">
      <c r="A90" s="47">
        <v>9741</v>
      </c>
      <c r="B90" s="54" t="s">
        <v>410</v>
      </c>
      <c r="C90" s="54"/>
      <c r="D90" s="51" t="s">
        <v>319</v>
      </c>
      <c r="M90" s="26" t="s">
        <v>408</v>
      </c>
      <c r="N90" s="35" t="s">
        <v>530</v>
      </c>
      <c r="O90" s="27" t="s">
        <v>405</v>
      </c>
      <c r="P90" s="27" t="s">
        <v>409</v>
      </c>
      <c r="Q90" s="27" t="s">
        <v>49</v>
      </c>
      <c r="R90" s="42">
        <v>155625</v>
      </c>
      <c r="S90" s="28">
        <v>226250</v>
      </c>
      <c r="T90" s="29">
        <v>329000</v>
      </c>
      <c r="U90" s="27" t="b">
        <f>EXACT(Destinos[[#This Row],[VALOR MINI BUS 30 PASAJEROS]],Destinos[[#This Row],[VALOR BUS BUS TURISMO 42 PASAJEROS]])</f>
        <v>0</v>
      </c>
    </row>
    <row r="91" spans="1:21" ht="135" x14ac:dyDescent="0.25">
      <c r="A91" s="46">
        <v>12103</v>
      </c>
      <c r="B91" s="53" t="s">
        <v>412</v>
      </c>
      <c r="C91" s="53"/>
      <c r="D91" s="53" t="s">
        <v>326</v>
      </c>
      <c r="M91" s="26" t="s">
        <v>411</v>
      </c>
      <c r="N91" s="35" t="s">
        <v>527</v>
      </c>
      <c r="O91" s="27" t="s">
        <v>405</v>
      </c>
      <c r="P91" s="27" t="s">
        <v>48</v>
      </c>
      <c r="Q91" s="27" t="s">
        <v>49</v>
      </c>
      <c r="R91" s="42">
        <v>126563</v>
      </c>
      <c r="S91" s="28">
        <v>168125</v>
      </c>
      <c r="T91" s="29">
        <v>212750</v>
      </c>
      <c r="U91" s="27" t="b">
        <f>EXACT(Destinos[[#This Row],[VALOR MINI BUS 30 PASAJEROS]],Destinos[[#This Row],[VALOR BUS BUS TURISMO 42 PASAJEROS]])</f>
        <v>0</v>
      </c>
    </row>
    <row r="92" spans="1:21" ht="135" x14ac:dyDescent="0.25">
      <c r="A92" s="46">
        <v>9410</v>
      </c>
      <c r="B92" s="53" t="s">
        <v>414</v>
      </c>
      <c r="C92" s="53"/>
      <c r="D92" s="53" t="s">
        <v>58</v>
      </c>
      <c r="M92" s="26" t="s">
        <v>413</v>
      </c>
      <c r="N92" s="35" t="s">
        <v>527</v>
      </c>
      <c r="O92" s="27" t="s">
        <v>405</v>
      </c>
      <c r="P92" s="27" t="s">
        <v>48</v>
      </c>
      <c r="Q92" s="27" t="s">
        <v>49</v>
      </c>
      <c r="R92" s="42">
        <v>126563</v>
      </c>
      <c r="S92" s="28">
        <v>168125</v>
      </c>
      <c r="T92" s="29">
        <v>212750</v>
      </c>
      <c r="U92" s="27" t="b">
        <f>EXACT(Destinos[[#This Row],[VALOR MINI BUS 30 PASAJEROS]],Destinos[[#This Row],[VALOR BUS BUS TURISMO 42 PASAJEROS]])</f>
        <v>0</v>
      </c>
    </row>
    <row r="93" spans="1:21" ht="30" x14ac:dyDescent="0.25">
      <c r="A93" s="47">
        <v>9416</v>
      </c>
      <c r="B93" s="51" t="s">
        <v>416</v>
      </c>
      <c r="C93" s="51"/>
      <c r="D93" s="51" t="s">
        <v>76</v>
      </c>
      <c r="M93" s="26" t="s">
        <v>415</v>
      </c>
      <c r="N93" s="35" t="s">
        <v>531</v>
      </c>
      <c r="O93" s="27" t="s">
        <v>405</v>
      </c>
      <c r="P93" s="27" t="s">
        <v>216</v>
      </c>
      <c r="Q93" s="27" t="s">
        <v>49</v>
      </c>
      <c r="R93" s="42">
        <v>129750</v>
      </c>
      <c r="S93" s="28">
        <v>174500</v>
      </c>
      <c r="T93" s="29">
        <v>225500</v>
      </c>
      <c r="U93" s="27" t="b">
        <f>EXACT(Destinos[[#This Row],[VALOR MINI BUS 30 PASAJEROS]],Destinos[[#This Row],[VALOR BUS BUS TURISMO 42 PASAJEROS]])</f>
        <v>0</v>
      </c>
    </row>
    <row r="94" spans="1:21" ht="60" x14ac:dyDescent="0.25">
      <c r="A94" s="46">
        <v>9418</v>
      </c>
      <c r="B94" s="53" t="s">
        <v>419</v>
      </c>
      <c r="C94" s="53"/>
      <c r="D94" s="53" t="s">
        <v>83</v>
      </c>
      <c r="M94" s="26" t="s">
        <v>417</v>
      </c>
      <c r="N94" s="35" t="s">
        <v>532</v>
      </c>
      <c r="O94" s="27" t="s">
        <v>405</v>
      </c>
      <c r="P94" s="27" t="s">
        <v>418</v>
      </c>
      <c r="Q94" s="27" t="s">
        <v>49</v>
      </c>
      <c r="R94" s="42">
        <v>129375</v>
      </c>
      <c r="S94" s="28">
        <v>173750</v>
      </c>
      <c r="T94" s="29">
        <v>224000</v>
      </c>
      <c r="U94" s="27" t="b">
        <f>EXACT(Destinos[[#This Row],[VALOR MINI BUS 30 PASAJEROS]],Destinos[[#This Row],[VALOR BUS BUS TURISMO 42 PASAJEROS]])</f>
        <v>0</v>
      </c>
    </row>
    <row r="95" spans="1:21" x14ac:dyDescent="0.25">
      <c r="A95" s="47">
        <v>9419</v>
      </c>
      <c r="B95" s="50" t="s">
        <v>421</v>
      </c>
      <c r="C95" s="50"/>
      <c r="D95" s="50" t="s">
        <v>90</v>
      </c>
      <c r="M95" s="26" t="s">
        <v>420</v>
      </c>
      <c r="N95" s="35" t="s">
        <v>533</v>
      </c>
      <c r="O95" s="27" t="s">
        <v>405</v>
      </c>
      <c r="P95" s="27" t="s">
        <v>338</v>
      </c>
      <c r="Q95" s="27" t="s">
        <v>49</v>
      </c>
      <c r="R95" s="42">
        <v>132188</v>
      </c>
      <c r="S95" s="28">
        <v>179375</v>
      </c>
      <c r="T95" s="29">
        <v>235250</v>
      </c>
      <c r="U95" s="27" t="b">
        <f>EXACT(Destinos[[#This Row],[VALOR MINI BUS 30 PASAJEROS]],Destinos[[#This Row],[VALOR BUS BUS TURISMO 42 PASAJEROS]])</f>
        <v>0</v>
      </c>
    </row>
    <row r="96" spans="1:21" ht="45" x14ac:dyDescent="0.25">
      <c r="A96" s="46">
        <v>9422</v>
      </c>
      <c r="B96" s="53" t="s">
        <v>423</v>
      </c>
      <c r="C96" s="53"/>
      <c r="D96" s="53" t="s">
        <v>97</v>
      </c>
      <c r="M96" s="26" t="s">
        <v>422</v>
      </c>
      <c r="N96" s="35" t="s">
        <v>534</v>
      </c>
      <c r="O96" s="27" t="s">
        <v>405</v>
      </c>
      <c r="P96" s="27" t="s">
        <v>216</v>
      </c>
      <c r="Q96" s="27" t="s">
        <v>49</v>
      </c>
      <c r="R96" s="42">
        <v>128813</v>
      </c>
      <c r="S96" s="28">
        <v>172625</v>
      </c>
      <c r="T96" s="29">
        <v>221750</v>
      </c>
      <c r="U96" s="27" t="b">
        <f>EXACT(Destinos[[#This Row],[VALOR MINI BUS 30 PASAJEROS]],Destinos[[#This Row],[VALOR BUS BUS TURISMO 42 PASAJEROS]])</f>
        <v>0</v>
      </c>
    </row>
    <row r="97" spans="1:21" ht="30" x14ac:dyDescent="0.25">
      <c r="A97" s="47">
        <v>9428</v>
      </c>
      <c r="B97" s="54" t="s">
        <v>426</v>
      </c>
      <c r="C97" s="54"/>
      <c r="D97" s="54" t="s">
        <v>109</v>
      </c>
      <c r="M97" s="26" t="s">
        <v>424</v>
      </c>
      <c r="N97" s="35"/>
      <c r="O97" s="27" t="s">
        <v>405</v>
      </c>
      <c r="P97" s="27" t="s">
        <v>425</v>
      </c>
      <c r="Q97" s="27" t="s">
        <v>49</v>
      </c>
      <c r="R97" s="42">
        <v>134813</v>
      </c>
      <c r="S97" s="28">
        <v>184625</v>
      </c>
      <c r="T97" s="29">
        <v>245750</v>
      </c>
      <c r="U97" s="27" t="b">
        <f>EXACT(Destinos[[#This Row],[VALOR MINI BUS 30 PASAJEROS]],Destinos[[#This Row],[VALOR BUS BUS TURISMO 42 PASAJEROS]])</f>
        <v>0</v>
      </c>
    </row>
    <row r="98" spans="1:21" x14ac:dyDescent="0.25">
      <c r="A98" s="46">
        <v>9446</v>
      </c>
      <c r="B98" s="53" t="s">
        <v>429</v>
      </c>
      <c r="C98" s="53"/>
      <c r="D98" s="53" t="s">
        <v>134</v>
      </c>
      <c r="M98" s="26" t="s">
        <v>427</v>
      </c>
      <c r="N98" s="35" t="s">
        <v>535</v>
      </c>
      <c r="O98" s="27" t="s">
        <v>405</v>
      </c>
      <c r="P98" s="27" t="s">
        <v>428</v>
      </c>
      <c r="Q98" s="27" t="s">
        <v>49</v>
      </c>
      <c r="R98" s="42">
        <v>127125</v>
      </c>
      <c r="S98" s="28">
        <v>169250</v>
      </c>
      <c r="T98" s="29">
        <v>215000</v>
      </c>
      <c r="U98" s="27" t="b">
        <f>EXACT(Destinos[[#This Row],[VALOR MINI BUS 30 PASAJEROS]],Destinos[[#This Row],[VALOR BUS BUS TURISMO 42 PASAJEROS]])</f>
        <v>0</v>
      </c>
    </row>
    <row r="99" spans="1:21" ht="30" x14ac:dyDescent="0.25">
      <c r="A99" s="47">
        <v>9458</v>
      </c>
      <c r="B99" s="54" t="s">
        <v>432</v>
      </c>
      <c r="C99" s="54"/>
      <c r="D99" s="54" t="s">
        <v>140</v>
      </c>
      <c r="M99" s="26" t="s">
        <v>430</v>
      </c>
      <c r="N99" s="35" t="s">
        <v>536</v>
      </c>
      <c r="O99" s="27" t="s">
        <v>405</v>
      </c>
      <c r="P99" s="27" t="s">
        <v>431</v>
      </c>
      <c r="Q99" s="27" t="s">
        <v>49</v>
      </c>
      <c r="R99" s="42">
        <v>137625</v>
      </c>
      <c r="S99" s="28">
        <v>190250</v>
      </c>
      <c r="T99" s="29">
        <v>257000</v>
      </c>
      <c r="U99" s="27" t="b">
        <f>EXACT(Destinos[[#This Row],[VALOR MINI BUS 30 PASAJEROS]],Destinos[[#This Row],[VALOR BUS BUS TURISMO 42 PASAJEROS]])</f>
        <v>0</v>
      </c>
    </row>
    <row r="100" spans="1:21" ht="30" x14ac:dyDescent="0.25">
      <c r="A100" s="46">
        <v>9695</v>
      </c>
      <c r="B100" s="50" t="s">
        <v>434</v>
      </c>
      <c r="C100" s="50"/>
      <c r="D100" s="50" t="s">
        <v>222</v>
      </c>
      <c r="M100" s="26" t="s">
        <v>433</v>
      </c>
      <c r="N100" s="35" t="s">
        <v>537</v>
      </c>
      <c r="O100" s="27" t="s">
        <v>405</v>
      </c>
      <c r="P100" s="27" t="s">
        <v>425</v>
      </c>
      <c r="Q100" s="27" t="s">
        <v>49</v>
      </c>
      <c r="R100" s="42">
        <v>137625</v>
      </c>
      <c r="S100" s="28">
        <v>190250</v>
      </c>
      <c r="T100" s="29">
        <v>257000</v>
      </c>
      <c r="U100" s="27" t="b">
        <f>EXACT(Destinos[[#This Row],[VALOR MINI BUS 30 PASAJEROS]],Destinos[[#This Row],[VALOR BUS BUS TURISMO 42 PASAJEROS]])</f>
        <v>0</v>
      </c>
    </row>
    <row r="101" spans="1:21" ht="30" x14ac:dyDescent="0.25">
      <c r="A101" s="47">
        <v>9704</v>
      </c>
      <c r="B101" s="51" t="s">
        <v>437</v>
      </c>
      <c r="C101" s="51"/>
      <c r="D101" s="51" t="s">
        <v>247</v>
      </c>
      <c r="M101" s="26" t="s">
        <v>435</v>
      </c>
      <c r="N101" s="35" t="s">
        <v>538</v>
      </c>
      <c r="O101" s="27" t="s">
        <v>405</v>
      </c>
      <c r="P101" s="27" t="s">
        <v>436</v>
      </c>
      <c r="Q101" s="27" t="s">
        <v>49</v>
      </c>
      <c r="R101" s="42">
        <v>133313</v>
      </c>
      <c r="S101" s="28">
        <v>181625</v>
      </c>
      <c r="T101" s="29">
        <v>239750</v>
      </c>
      <c r="U101" s="27" t="b">
        <f>EXACT(Destinos[[#This Row],[VALOR MINI BUS 30 PASAJEROS]],Destinos[[#This Row],[VALOR BUS BUS TURISMO 42 PASAJEROS]])</f>
        <v>0</v>
      </c>
    </row>
    <row r="102" spans="1:21" x14ac:dyDescent="0.25">
      <c r="A102" s="46">
        <v>9727</v>
      </c>
      <c r="B102" s="53" t="s">
        <v>440</v>
      </c>
      <c r="C102" s="53"/>
      <c r="D102" s="53" t="s">
        <v>288</v>
      </c>
      <c r="M102" s="26" t="s">
        <v>438</v>
      </c>
      <c r="N102" s="35" t="s">
        <v>539</v>
      </c>
      <c r="O102" s="27" t="s">
        <v>405</v>
      </c>
      <c r="P102" s="27" t="s">
        <v>439</v>
      </c>
      <c r="Q102" s="27" t="s">
        <v>49</v>
      </c>
      <c r="R102" s="42">
        <v>132938</v>
      </c>
      <c r="S102" s="28">
        <v>180875</v>
      </c>
      <c r="T102" s="29">
        <v>238250</v>
      </c>
      <c r="U102" s="27" t="b">
        <f>EXACT(Destinos[[#This Row],[VALOR MINI BUS 30 PASAJEROS]],Destinos[[#This Row],[VALOR BUS BUS TURISMO 42 PASAJEROS]])</f>
        <v>0</v>
      </c>
    </row>
    <row r="103" spans="1:21" x14ac:dyDescent="0.25">
      <c r="A103" s="47">
        <v>9729</v>
      </c>
      <c r="B103" s="54" t="s">
        <v>442</v>
      </c>
      <c r="C103" s="54"/>
      <c r="D103" s="54" t="s">
        <v>293</v>
      </c>
      <c r="M103" s="26" t="s">
        <v>441</v>
      </c>
      <c r="N103" s="35" t="s">
        <v>441</v>
      </c>
      <c r="O103" s="27" t="s">
        <v>405</v>
      </c>
      <c r="P103" s="27" t="s">
        <v>48</v>
      </c>
      <c r="Q103" s="27" t="s">
        <v>49</v>
      </c>
      <c r="R103" s="42">
        <v>123938</v>
      </c>
      <c r="S103" s="28">
        <v>162875</v>
      </c>
      <c r="T103" s="29">
        <v>202250</v>
      </c>
      <c r="U103" s="27" t="b">
        <f>EXACT(Destinos[[#This Row],[VALOR MINI BUS 30 PASAJEROS]],Destinos[[#This Row],[VALOR BUS BUS TURISMO 42 PASAJEROS]])</f>
        <v>0</v>
      </c>
    </row>
    <row r="104" spans="1:21" x14ac:dyDescent="0.25">
      <c r="A104" s="46">
        <v>9738</v>
      </c>
      <c r="B104" s="53" t="s">
        <v>444</v>
      </c>
      <c r="C104" s="53"/>
      <c r="D104" s="53" t="s">
        <v>312</v>
      </c>
      <c r="M104" s="26" t="s">
        <v>443</v>
      </c>
      <c r="N104" s="35" t="s">
        <v>527</v>
      </c>
      <c r="O104" s="27" t="s">
        <v>405</v>
      </c>
      <c r="P104" s="27" t="s">
        <v>436</v>
      </c>
      <c r="Q104" s="27" t="s">
        <v>49</v>
      </c>
      <c r="R104" s="42">
        <v>149813</v>
      </c>
      <c r="S104" s="28">
        <v>214625</v>
      </c>
      <c r="T104" s="29">
        <v>305750</v>
      </c>
      <c r="U104" s="27" t="b">
        <f>EXACT(Destinos[[#This Row],[VALOR MINI BUS 30 PASAJEROS]],Destinos[[#This Row],[VALOR BUS BUS TURISMO 42 PASAJEROS]])</f>
        <v>0</v>
      </c>
    </row>
    <row r="105" spans="1:21" x14ac:dyDescent="0.25">
      <c r="A105" s="47">
        <v>9747</v>
      </c>
      <c r="B105" s="51" t="s">
        <v>447</v>
      </c>
      <c r="C105" s="51"/>
      <c r="D105" s="51" t="s">
        <v>58</v>
      </c>
      <c r="M105" s="26" t="s">
        <v>445</v>
      </c>
      <c r="N105" s="35" t="s">
        <v>527</v>
      </c>
      <c r="O105" s="27" t="s">
        <v>405</v>
      </c>
      <c r="P105" s="27" t="s">
        <v>446</v>
      </c>
      <c r="Q105" s="27" t="s">
        <v>49</v>
      </c>
      <c r="R105" s="42">
        <v>128438</v>
      </c>
      <c r="S105" s="28">
        <v>171875</v>
      </c>
      <c r="T105" s="29">
        <v>220250</v>
      </c>
      <c r="U105" s="27" t="b">
        <f>EXACT(Destinos[[#This Row],[VALOR MINI BUS 30 PASAJEROS]],Destinos[[#This Row],[VALOR BUS BUS TURISMO 42 PASAJEROS]])</f>
        <v>0</v>
      </c>
    </row>
    <row r="106" spans="1:21" x14ac:dyDescent="0.25">
      <c r="A106" s="46">
        <v>25173</v>
      </c>
      <c r="B106" s="53" t="s">
        <v>450</v>
      </c>
      <c r="C106" s="53"/>
      <c r="D106" s="53" t="s">
        <v>330</v>
      </c>
      <c r="M106" s="26" t="s">
        <v>448</v>
      </c>
      <c r="N106" s="35" t="s">
        <v>540</v>
      </c>
      <c r="O106" s="27" t="s">
        <v>405</v>
      </c>
      <c r="P106" s="27" t="s">
        <v>449</v>
      </c>
      <c r="Q106" s="27" t="s">
        <v>49</v>
      </c>
      <c r="R106" s="42">
        <v>132563</v>
      </c>
      <c r="S106" s="28">
        <v>180125</v>
      </c>
      <c r="T106" s="29">
        <v>236750</v>
      </c>
      <c r="U106" s="27" t="b">
        <f>EXACT(Destinos[[#This Row],[VALOR MINI BUS 30 PASAJEROS]],Destinos[[#This Row],[VALOR BUS BUS TURISMO 42 PASAJEROS]])</f>
        <v>0</v>
      </c>
    </row>
    <row r="107" spans="1:21" ht="30" x14ac:dyDescent="0.25">
      <c r="A107" s="47">
        <v>9405</v>
      </c>
      <c r="B107" s="51" t="s">
        <v>453</v>
      </c>
      <c r="C107" s="51"/>
      <c r="D107" s="51" t="s">
        <v>42</v>
      </c>
      <c r="M107" s="26" t="s">
        <v>451</v>
      </c>
      <c r="N107" s="35" t="s">
        <v>541</v>
      </c>
      <c r="O107" s="27" t="s">
        <v>405</v>
      </c>
      <c r="P107" s="27" t="s">
        <v>452</v>
      </c>
      <c r="Q107" s="27" t="s">
        <v>49</v>
      </c>
      <c r="R107" s="42">
        <v>124500</v>
      </c>
      <c r="S107" s="28">
        <v>164000</v>
      </c>
      <c r="T107" s="29">
        <v>204500</v>
      </c>
      <c r="U107" s="27" t="b">
        <f>EXACT(Destinos[[#This Row],[VALOR MINI BUS 30 PASAJEROS]],Destinos[[#This Row],[VALOR BUS BUS TURISMO 42 PASAJEROS]])</f>
        <v>0</v>
      </c>
    </row>
    <row r="108" spans="1:21" ht="30" x14ac:dyDescent="0.25">
      <c r="A108" s="46">
        <v>9406</v>
      </c>
      <c r="B108" s="52" t="s">
        <v>455</v>
      </c>
      <c r="C108" s="52"/>
      <c r="D108" s="52" t="s">
        <v>51</v>
      </c>
      <c r="M108" s="26" t="s">
        <v>454</v>
      </c>
      <c r="N108" s="35" t="s">
        <v>542</v>
      </c>
      <c r="O108" s="27" t="s">
        <v>405</v>
      </c>
      <c r="P108" s="27" t="s">
        <v>436</v>
      </c>
      <c r="Q108" s="27" t="s">
        <v>49</v>
      </c>
      <c r="R108" s="42">
        <v>144375</v>
      </c>
      <c r="S108" s="28">
        <v>203750</v>
      </c>
      <c r="T108" s="29">
        <v>284000</v>
      </c>
      <c r="U108" s="27" t="b">
        <f>EXACT(Destinos[[#This Row],[VALOR MINI BUS 30 PASAJEROS]],Destinos[[#This Row],[VALOR BUS BUS TURISMO 42 PASAJEROS]])</f>
        <v>0</v>
      </c>
    </row>
    <row r="109" spans="1:21" ht="135" x14ac:dyDescent="0.25">
      <c r="A109" s="47">
        <v>9413</v>
      </c>
      <c r="B109" s="51" t="s">
        <v>457</v>
      </c>
      <c r="C109" s="51"/>
      <c r="D109" s="51" t="s">
        <v>64</v>
      </c>
      <c r="M109" s="30" t="s">
        <v>456</v>
      </c>
      <c r="N109" s="35" t="s">
        <v>527</v>
      </c>
      <c r="O109" s="31" t="s">
        <v>405</v>
      </c>
      <c r="P109" s="31" t="s">
        <v>48</v>
      </c>
      <c r="Q109" s="31" t="s">
        <v>49</v>
      </c>
      <c r="R109" s="43">
        <v>126563</v>
      </c>
      <c r="S109" s="32">
        <v>168125</v>
      </c>
      <c r="T109" s="33">
        <v>212750</v>
      </c>
      <c r="U109" s="31" t="b">
        <f>EXACT(Destinos[[#This Row],[VALOR MINI BUS 30 PASAJEROS]],Destinos[[#This Row],[VALOR BUS BUS TURISMO 42 PASAJEROS]])</f>
        <v>0</v>
      </c>
    </row>
    <row r="110" spans="1:21" x14ac:dyDescent="0.25">
      <c r="A110" s="46">
        <v>9415</v>
      </c>
      <c r="B110" s="53" t="s">
        <v>459</v>
      </c>
      <c r="C110" s="53"/>
      <c r="D110" s="53" t="s">
        <v>70</v>
      </c>
      <c r="M110" s="26" t="s">
        <v>458</v>
      </c>
      <c r="N110" s="35" t="s">
        <v>543</v>
      </c>
      <c r="O110" s="27" t="s">
        <v>405</v>
      </c>
      <c r="P110" s="27" t="s">
        <v>349</v>
      </c>
      <c r="Q110" s="27" t="s">
        <v>49</v>
      </c>
      <c r="R110" s="42">
        <v>126000</v>
      </c>
      <c r="S110" s="28">
        <v>167000</v>
      </c>
      <c r="T110" s="29">
        <v>210500</v>
      </c>
      <c r="U110" s="27" t="b">
        <f>EXACT(Destinos[[#This Row],[VALOR MINI BUS 30 PASAJEROS]],Destinos[[#This Row],[VALOR BUS BUS TURISMO 42 PASAJEROS]])</f>
        <v>0</v>
      </c>
    </row>
    <row r="111" spans="1:21" ht="30" x14ac:dyDescent="0.25">
      <c r="A111" s="47">
        <v>9426</v>
      </c>
      <c r="B111" s="51" t="s">
        <v>461</v>
      </c>
      <c r="C111" s="51"/>
      <c r="D111" s="51" t="s">
        <v>103</v>
      </c>
      <c r="M111" s="26" t="s">
        <v>460</v>
      </c>
      <c r="N111" s="35"/>
      <c r="O111" s="27" t="s">
        <v>405</v>
      </c>
      <c r="P111" s="27" t="s">
        <v>446</v>
      </c>
      <c r="Q111" s="27" t="s">
        <v>49</v>
      </c>
      <c r="R111" s="42">
        <v>129750</v>
      </c>
      <c r="S111" s="28">
        <v>174500</v>
      </c>
      <c r="T111" s="29">
        <v>225500</v>
      </c>
      <c r="U111" s="27" t="b">
        <f>EXACT(Destinos[[#This Row],[VALOR MINI BUS 30 PASAJEROS]],Destinos[[#This Row],[VALOR BUS BUS TURISMO 42 PASAJEROS]])</f>
        <v>0</v>
      </c>
    </row>
    <row r="112" spans="1:21" ht="30" x14ac:dyDescent="0.25">
      <c r="A112" s="46">
        <v>9431</v>
      </c>
      <c r="B112" s="53" t="s">
        <v>464</v>
      </c>
      <c r="C112" s="53"/>
      <c r="D112" s="53" t="s">
        <v>115</v>
      </c>
      <c r="M112" s="26" t="s">
        <v>462</v>
      </c>
      <c r="N112" s="35" t="s">
        <v>544</v>
      </c>
      <c r="O112" s="27" t="s">
        <v>405</v>
      </c>
      <c r="P112" s="27" t="s">
        <v>463</v>
      </c>
      <c r="Q112" s="27" t="s">
        <v>49</v>
      </c>
      <c r="R112" s="42">
        <v>125250</v>
      </c>
      <c r="S112" s="28">
        <v>165500</v>
      </c>
      <c r="T112" s="29">
        <v>207500</v>
      </c>
      <c r="U112" s="27" t="b">
        <f>EXACT(Destinos[[#This Row],[VALOR MINI BUS 30 PASAJEROS]],Destinos[[#This Row],[VALOR BUS BUS TURISMO 42 PASAJEROS]])</f>
        <v>0</v>
      </c>
    </row>
    <row r="113" spans="1:21" ht="30" x14ac:dyDescent="0.25">
      <c r="A113" s="48">
        <v>9433</v>
      </c>
      <c r="B113" s="51" t="s">
        <v>466</v>
      </c>
      <c r="C113" s="51"/>
      <c r="D113" s="51" t="s">
        <v>122</v>
      </c>
      <c r="M113" s="26" t="s">
        <v>465</v>
      </c>
      <c r="N113" s="35" t="s">
        <v>545</v>
      </c>
      <c r="O113" s="27" t="s">
        <v>405</v>
      </c>
      <c r="P113" s="27" t="s">
        <v>346</v>
      </c>
      <c r="Q113" s="27" t="s">
        <v>49</v>
      </c>
      <c r="R113" s="42">
        <v>148125</v>
      </c>
      <c r="S113" s="28">
        <v>211250</v>
      </c>
      <c r="T113" s="29">
        <v>299000</v>
      </c>
      <c r="U113" s="27" t="b">
        <f>EXACT(Destinos[[#This Row],[VALOR MINI BUS 30 PASAJEROS]],Destinos[[#This Row],[VALOR BUS BUS TURISMO 42 PASAJEROS]])</f>
        <v>0</v>
      </c>
    </row>
    <row r="114" spans="1:21" x14ac:dyDescent="0.25">
      <c r="A114" s="46">
        <v>9444</v>
      </c>
      <c r="B114" s="53" t="s">
        <v>469</v>
      </c>
      <c r="C114" s="53"/>
      <c r="D114" s="53" t="s">
        <v>128</v>
      </c>
      <c r="M114" s="26" t="s">
        <v>467</v>
      </c>
      <c r="N114" s="35" t="s">
        <v>546</v>
      </c>
      <c r="O114" s="27" t="s">
        <v>405</v>
      </c>
      <c r="P114" s="27" t="s">
        <v>468</v>
      </c>
      <c r="Q114" s="27" t="s">
        <v>49</v>
      </c>
      <c r="R114" s="42">
        <v>132938</v>
      </c>
      <c r="S114" s="28">
        <v>180875</v>
      </c>
      <c r="T114" s="29">
        <v>238250</v>
      </c>
      <c r="U114" s="27" t="b">
        <f>EXACT(Destinos[[#This Row],[VALOR MINI BUS 30 PASAJEROS]],Destinos[[#This Row],[VALOR BUS BUS TURISMO 42 PASAJEROS]])</f>
        <v>0</v>
      </c>
    </row>
    <row r="115" spans="1:21" ht="30" x14ac:dyDescent="0.25">
      <c r="A115" s="47">
        <v>9460</v>
      </c>
      <c r="B115" s="51" t="s">
        <v>472</v>
      </c>
      <c r="C115" s="51"/>
      <c r="D115" s="51" t="s">
        <v>146</v>
      </c>
      <c r="M115" s="26" t="s">
        <v>470</v>
      </c>
      <c r="N115" s="35" t="s">
        <v>547</v>
      </c>
      <c r="O115" s="27" t="s">
        <v>405</v>
      </c>
      <c r="P115" s="27" t="s">
        <v>471</v>
      </c>
      <c r="Q115" s="27" t="s">
        <v>49</v>
      </c>
      <c r="R115" s="42">
        <v>126563</v>
      </c>
      <c r="S115" s="28">
        <v>168125</v>
      </c>
      <c r="T115" s="29">
        <v>212750</v>
      </c>
      <c r="U115" s="27" t="b">
        <f>EXACT(Destinos[[#This Row],[VALOR MINI BUS 30 PASAJEROS]],Destinos[[#This Row],[VALOR BUS BUS TURISMO 42 PASAJEROS]])</f>
        <v>0</v>
      </c>
    </row>
    <row r="116" spans="1:21" ht="30" x14ac:dyDescent="0.25">
      <c r="A116" s="46">
        <v>9461</v>
      </c>
      <c r="B116" s="53" t="s">
        <v>477</v>
      </c>
      <c r="C116" s="53"/>
      <c r="D116" s="53"/>
      <c r="M116" s="26" t="s">
        <v>473</v>
      </c>
      <c r="N116" s="35"/>
      <c r="O116" s="27" t="s">
        <v>474</v>
      </c>
      <c r="P116" s="27" t="s">
        <v>475</v>
      </c>
      <c r="Q116" s="27" t="s">
        <v>476</v>
      </c>
      <c r="R116" s="42">
        <v>195250</v>
      </c>
      <c r="S116" s="28">
        <v>287500</v>
      </c>
      <c r="T116" s="29">
        <v>430000</v>
      </c>
      <c r="U116" s="27" t="b">
        <f>EXACT(Destinos[[#This Row],[VALOR MINI BUS 30 PASAJEROS]],Destinos[[#This Row],[VALOR BUS BUS TURISMO 42 PASAJEROS]])</f>
        <v>0</v>
      </c>
    </row>
    <row r="117" spans="1:21" x14ac:dyDescent="0.25">
      <c r="A117" s="46">
        <v>9586</v>
      </c>
      <c r="B117" s="52" t="s">
        <v>479</v>
      </c>
      <c r="C117" s="52"/>
      <c r="D117" s="52" t="s">
        <v>156</v>
      </c>
      <c r="M117" s="26" t="s">
        <v>478</v>
      </c>
      <c r="N117" s="35" t="s">
        <v>548</v>
      </c>
      <c r="O117" s="27" t="s">
        <v>474</v>
      </c>
      <c r="P117" s="27" t="s">
        <v>476</v>
      </c>
      <c r="Q117" s="27" t="s">
        <v>49</v>
      </c>
      <c r="R117" s="42">
        <v>185125</v>
      </c>
      <c r="S117" s="28">
        <v>267250</v>
      </c>
      <c r="T117" s="29">
        <v>389500</v>
      </c>
      <c r="U117" s="27" t="b">
        <f>EXACT(Destinos[[#This Row],[VALOR MINI BUS 30 PASAJEROS]],Destinos[[#This Row],[VALOR BUS BUS TURISMO 42 PASAJEROS]])</f>
        <v>0</v>
      </c>
    </row>
    <row r="118" spans="1:21" ht="75" x14ac:dyDescent="0.25">
      <c r="A118" s="47">
        <v>9592</v>
      </c>
      <c r="B118" s="51" t="s">
        <v>482</v>
      </c>
      <c r="C118" s="51"/>
      <c r="D118" s="51" t="s">
        <v>161</v>
      </c>
      <c r="M118" s="26" t="s">
        <v>480</v>
      </c>
      <c r="N118" s="35" t="s">
        <v>549</v>
      </c>
      <c r="O118" s="27" t="s">
        <v>474</v>
      </c>
      <c r="P118" s="27" t="s">
        <v>481</v>
      </c>
      <c r="Q118" s="27" t="s">
        <v>476</v>
      </c>
      <c r="R118" s="42">
        <v>205938</v>
      </c>
      <c r="S118" s="28">
        <v>308875</v>
      </c>
      <c r="T118" s="29">
        <v>472750</v>
      </c>
      <c r="U118" s="27" t="b">
        <f>EXACT(Destinos[[#This Row],[VALOR MINI BUS 30 PASAJEROS]],Destinos[[#This Row],[VALOR BUS BUS TURISMO 42 PASAJEROS]])</f>
        <v>0</v>
      </c>
    </row>
    <row r="119" spans="1:21" ht="45" x14ac:dyDescent="0.25">
      <c r="A119" s="46">
        <v>9593</v>
      </c>
      <c r="B119" s="53" t="s">
        <v>485</v>
      </c>
      <c r="C119" s="53"/>
      <c r="D119" s="53" t="s">
        <v>166</v>
      </c>
      <c r="M119" s="26" t="s">
        <v>483</v>
      </c>
      <c r="N119" s="35" t="s">
        <v>550</v>
      </c>
      <c r="O119" s="27" t="s">
        <v>474</v>
      </c>
      <c r="P119" s="27" t="s">
        <v>484</v>
      </c>
      <c r="Q119" s="27" t="s">
        <v>476</v>
      </c>
      <c r="R119" s="42">
        <v>183438</v>
      </c>
      <c r="S119" s="28">
        <v>263875</v>
      </c>
      <c r="T119" s="29">
        <v>382750</v>
      </c>
      <c r="U119" s="27" t="b">
        <f>EXACT(Destinos[[#This Row],[VALOR MINI BUS 30 PASAJEROS]],Destinos[[#This Row],[VALOR BUS BUS TURISMO 42 PASAJEROS]])</f>
        <v>0</v>
      </c>
    </row>
    <row r="120" spans="1:21" ht="30" x14ac:dyDescent="0.25">
      <c r="A120" s="47">
        <v>9599</v>
      </c>
      <c r="B120" s="82" t="s">
        <v>487</v>
      </c>
      <c r="C120" s="82"/>
      <c r="D120" s="82" t="s">
        <v>171</v>
      </c>
      <c r="M120" s="26" t="s">
        <v>486</v>
      </c>
      <c r="N120" s="35" t="s">
        <v>551</v>
      </c>
      <c r="O120" s="27" t="s">
        <v>474</v>
      </c>
      <c r="P120" s="27" t="s">
        <v>481</v>
      </c>
      <c r="Q120" s="27" t="s">
        <v>476</v>
      </c>
      <c r="R120" s="42">
        <v>193000</v>
      </c>
      <c r="S120" s="28">
        <v>283000</v>
      </c>
      <c r="T120" s="29">
        <v>421000</v>
      </c>
      <c r="U120" s="27" t="b">
        <f>EXACT(Destinos[[#This Row],[VALOR MINI BUS 30 PASAJEROS]],Destinos[[#This Row],[VALOR BUS BUS TURISMO 42 PASAJEROS]])</f>
        <v>0</v>
      </c>
    </row>
    <row r="121" spans="1:21" ht="120" x14ac:dyDescent="0.25">
      <c r="A121" s="46">
        <v>9600</v>
      </c>
      <c r="B121" s="52" t="s">
        <v>490</v>
      </c>
      <c r="C121" s="52"/>
      <c r="D121" s="52" t="s">
        <v>176</v>
      </c>
      <c r="M121" s="26" t="s">
        <v>488</v>
      </c>
      <c r="N121" s="35" t="s">
        <v>527</v>
      </c>
      <c r="O121" s="27" t="s">
        <v>474</v>
      </c>
      <c r="P121" s="27" t="s">
        <v>489</v>
      </c>
      <c r="Q121" s="27" t="s">
        <v>476</v>
      </c>
      <c r="R121" s="42">
        <v>188313</v>
      </c>
      <c r="S121" s="28">
        <v>273625</v>
      </c>
      <c r="T121" s="29">
        <v>402250</v>
      </c>
      <c r="U121" s="27" t="b">
        <f>EXACT(Destinos[[#This Row],[VALOR MINI BUS 30 PASAJEROS]],Destinos[[#This Row],[VALOR BUS BUS TURISMO 42 PASAJEROS]])</f>
        <v>0</v>
      </c>
    </row>
    <row r="122" spans="1:21" ht="30" x14ac:dyDescent="0.25">
      <c r="A122" s="47">
        <v>9601</v>
      </c>
      <c r="B122" s="50" t="s">
        <v>494</v>
      </c>
      <c r="C122" s="50"/>
      <c r="D122" s="50" t="s">
        <v>180</v>
      </c>
      <c r="M122" s="26" t="s">
        <v>491</v>
      </c>
      <c r="N122" s="35" t="s">
        <v>552</v>
      </c>
      <c r="O122" s="27" t="s">
        <v>474</v>
      </c>
      <c r="P122" s="27" t="s">
        <v>492</v>
      </c>
      <c r="Q122" s="27" t="s">
        <v>493</v>
      </c>
      <c r="R122" s="42">
        <v>215500</v>
      </c>
      <c r="S122" s="28">
        <v>328000</v>
      </c>
      <c r="T122" s="29">
        <v>511000</v>
      </c>
      <c r="U122" s="27" t="b">
        <f>EXACT(Destinos[[#This Row],[VALOR MINI BUS 30 PASAJEROS]],Destinos[[#This Row],[VALOR BUS BUS TURISMO 42 PASAJEROS]])</f>
        <v>0</v>
      </c>
    </row>
    <row r="123" spans="1:21" ht="30" x14ac:dyDescent="0.25">
      <c r="A123" s="46">
        <v>9608</v>
      </c>
      <c r="B123" s="50" t="s">
        <v>497</v>
      </c>
      <c r="C123" s="50"/>
      <c r="D123" s="50" t="s">
        <v>185</v>
      </c>
      <c r="M123" s="26" t="s">
        <v>495</v>
      </c>
      <c r="N123" s="35" t="s">
        <v>553</v>
      </c>
      <c r="O123" s="27" t="s">
        <v>474</v>
      </c>
      <c r="P123" s="27" t="s">
        <v>496</v>
      </c>
      <c r="Q123" s="27" t="s">
        <v>476</v>
      </c>
      <c r="R123" s="42">
        <v>187188</v>
      </c>
      <c r="S123" s="28">
        <v>271375</v>
      </c>
      <c r="T123" s="29">
        <v>397750</v>
      </c>
      <c r="U123" s="27" t="b">
        <f>EXACT(Destinos[[#This Row],[VALOR MINI BUS 30 PASAJEROS]],Destinos[[#This Row],[VALOR BUS BUS TURISMO 42 PASAJEROS]])</f>
        <v>0</v>
      </c>
    </row>
    <row r="124" spans="1:21" ht="30" x14ac:dyDescent="0.25">
      <c r="A124" s="47">
        <v>9611</v>
      </c>
      <c r="B124" s="51" t="s">
        <v>500</v>
      </c>
      <c r="C124" s="51"/>
      <c r="D124" s="51" t="s">
        <v>189</v>
      </c>
      <c r="M124" s="26" t="s">
        <v>498</v>
      </c>
      <c r="N124" s="35" t="s">
        <v>554</v>
      </c>
      <c r="O124" s="27" t="s">
        <v>474</v>
      </c>
      <c r="P124" s="27" t="s">
        <v>499</v>
      </c>
      <c r="Q124" s="27" t="s">
        <v>493</v>
      </c>
      <c r="R124" s="42">
        <v>171250</v>
      </c>
      <c r="S124" s="28">
        <v>239500</v>
      </c>
      <c r="T124" s="29">
        <v>334000</v>
      </c>
      <c r="U124" s="27" t="b">
        <f>EXACT(Destinos[[#This Row],[VALOR MINI BUS 30 PASAJEROS]],Destinos[[#This Row],[VALOR BUS BUS TURISMO 42 PASAJEROS]])</f>
        <v>0</v>
      </c>
    </row>
    <row r="125" spans="1:21" ht="30" x14ac:dyDescent="0.25">
      <c r="A125" s="46">
        <v>9614</v>
      </c>
      <c r="B125" s="53" t="s">
        <v>503</v>
      </c>
      <c r="C125" s="53"/>
      <c r="D125" s="53" t="s">
        <v>194</v>
      </c>
      <c r="M125" s="26" t="s">
        <v>501</v>
      </c>
      <c r="N125" s="35" t="s">
        <v>555</v>
      </c>
      <c r="O125" s="27" t="s">
        <v>474</v>
      </c>
      <c r="P125" s="27" t="s">
        <v>502</v>
      </c>
      <c r="Q125" s="27" t="s">
        <v>493</v>
      </c>
      <c r="R125" s="42">
        <v>163938</v>
      </c>
      <c r="S125" s="28">
        <v>224875</v>
      </c>
      <c r="T125" s="29">
        <v>304750</v>
      </c>
      <c r="U125" s="27" t="b">
        <f>EXACT(Destinos[[#This Row],[VALOR MINI BUS 30 PASAJEROS]],Destinos[[#This Row],[VALOR BUS BUS TURISMO 42 PASAJEROS]])</f>
        <v>0</v>
      </c>
    </row>
    <row r="126" spans="1:21" ht="30" x14ac:dyDescent="0.25">
      <c r="A126" s="47">
        <v>9625</v>
      </c>
      <c r="B126" s="51" t="s">
        <v>506</v>
      </c>
      <c r="C126" s="51"/>
      <c r="D126" s="51" t="s">
        <v>199</v>
      </c>
      <c r="M126" s="26" t="s">
        <v>504</v>
      </c>
      <c r="N126" s="35" t="s">
        <v>556</v>
      </c>
      <c r="O126" s="27" t="s">
        <v>474</v>
      </c>
      <c r="P126" s="27" t="s">
        <v>505</v>
      </c>
      <c r="Q126" s="27" t="s">
        <v>493</v>
      </c>
      <c r="R126" s="42">
        <v>196750</v>
      </c>
      <c r="S126" s="28">
        <v>290500</v>
      </c>
      <c r="T126" s="29">
        <v>436000</v>
      </c>
      <c r="U126" s="27" t="b">
        <f>EXACT(Destinos[[#This Row],[VALOR MINI BUS 30 PASAJEROS]],Destinos[[#This Row],[VALOR BUS BUS TURISMO 42 PASAJEROS]])</f>
        <v>0</v>
      </c>
    </row>
    <row r="127" spans="1:21" ht="30" x14ac:dyDescent="0.25">
      <c r="A127" s="46">
        <v>9629</v>
      </c>
      <c r="B127" s="53" t="s">
        <v>509</v>
      </c>
      <c r="C127" s="53"/>
      <c r="D127" s="53" t="s">
        <v>204</v>
      </c>
      <c r="M127" s="26" t="s">
        <v>507</v>
      </c>
      <c r="N127" s="35" t="s">
        <v>557</v>
      </c>
      <c r="O127" s="27" t="s">
        <v>474</v>
      </c>
      <c r="P127" s="27" t="s">
        <v>508</v>
      </c>
      <c r="Q127" s="27" t="s">
        <v>476</v>
      </c>
      <c r="R127" s="42">
        <v>183625</v>
      </c>
      <c r="S127" s="28">
        <v>264250</v>
      </c>
      <c r="T127" s="29">
        <v>383500</v>
      </c>
      <c r="U127" s="27" t="b">
        <f>EXACT(Destinos[[#This Row],[VALOR MINI BUS 30 PASAJEROS]],Destinos[[#This Row],[VALOR BUS BUS TURISMO 42 PASAJEROS]])</f>
        <v>0</v>
      </c>
    </row>
    <row r="128" spans="1:21" ht="60" x14ac:dyDescent="0.25">
      <c r="A128" s="47">
        <v>9631</v>
      </c>
      <c r="B128" s="51" t="s">
        <v>511</v>
      </c>
      <c r="C128" s="51"/>
      <c r="D128" s="51" t="s">
        <v>208</v>
      </c>
      <c r="M128" s="26" t="s">
        <v>510</v>
      </c>
      <c r="N128" s="35" t="s">
        <v>527</v>
      </c>
      <c r="O128" s="27" t="s">
        <v>474</v>
      </c>
      <c r="P128" s="27" t="s">
        <v>481</v>
      </c>
      <c r="Q128" s="27" t="s">
        <v>476</v>
      </c>
      <c r="R128" s="42">
        <v>187563</v>
      </c>
      <c r="S128" s="28">
        <v>272125</v>
      </c>
      <c r="T128" s="29">
        <v>399250</v>
      </c>
      <c r="U128" s="27" t="b">
        <f>EXACT(Destinos[[#This Row],[VALOR MINI BUS 30 PASAJEROS]],Destinos[[#This Row],[VALOR BUS BUS TURISMO 42 PASAJEROS]])</f>
        <v>0</v>
      </c>
    </row>
    <row r="129" spans="13:21" ht="120" x14ac:dyDescent="0.25">
      <c r="M129" s="26" t="s">
        <v>558</v>
      </c>
      <c r="N129" s="35" t="s">
        <v>527</v>
      </c>
      <c r="O129" s="27" t="s">
        <v>474</v>
      </c>
      <c r="P129" s="27" t="s">
        <v>476</v>
      </c>
      <c r="Q129" s="27" t="s">
        <v>476</v>
      </c>
      <c r="R129" s="42">
        <v>193000</v>
      </c>
      <c r="S129" s="28">
        <v>283000</v>
      </c>
      <c r="T129" s="29">
        <v>421000</v>
      </c>
      <c r="U129" s="27" t="b">
        <f>EXACT(Destinos[[#This Row],[VALOR MINI BUS 30 PASAJEROS]],Destinos[[#This Row],[VALOR BUS BUS TURISMO 42 PASAJEROS]])</f>
        <v>0</v>
      </c>
    </row>
    <row r="130" spans="13:21" ht="120" x14ac:dyDescent="0.25">
      <c r="M130" s="26" t="s">
        <v>513</v>
      </c>
      <c r="N130" s="35" t="s">
        <v>527</v>
      </c>
      <c r="O130" s="27" t="s">
        <v>474</v>
      </c>
      <c r="P130" s="27" t="s">
        <v>481</v>
      </c>
      <c r="Q130" s="27" t="s">
        <v>476</v>
      </c>
      <c r="R130" s="42">
        <v>194875</v>
      </c>
      <c r="S130" s="28">
        <v>286750</v>
      </c>
      <c r="T130" s="29">
        <v>428500</v>
      </c>
      <c r="U130" s="27" t="b">
        <f>EXACT(Destinos[[#This Row],[VALOR MINI BUS 30 PASAJEROS]],Destinos[[#This Row],[VALOR BUS BUS TURISMO 42 PASAJEROS]])</f>
        <v>0</v>
      </c>
    </row>
  </sheetData>
  <sheetProtection algorithmName="SHA-512" hashValue="GoyYo2z15Zb26pW5mG7HsLIgCsZuXoLHYrRS2HjWUE9ePhwu4KMgGSDPqn65q4ewfqG0Ta6VASNSgI4z2Yj7/g==" saltValue="pZMmLaqvthteoHy6uOB4hg==" spinCount="100000" sheet="1" objects="1" scenarios="1"/>
  <autoFilter ref="A68:B128" xr:uid="{616EDEF2-4B2A-4365-B4EF-11641C4A800B}"/>
  <phoneticPr fontId="6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01CC-32E1-4773-86A8-E4F737B33CD3}">
  <dimension ref="A1:W385"/>
  <sheetViews>
    <sheetView topLeftCell="K1" zoomScaleNormal="100" workbookViewId="0">
      <selection activeCell="N71" sqref="N71"/>
    </sheetView>
  </sheetViews>
  <sheetFormatPr baseColWidth="10" defaultColWidth="11.42578125" defaultRowHeight="15" x14ac:dyDescent="0.25"/>
  <cols>
    <col min="2" max="2" width="43.42578125" bestFit="1" customWidth="1"/>
    <col min="3" max="4" width="43.42578125" customWidth="1"/>
    <col min="5" max="5" width="12.140625" bestFit="1" customWidth="1"/>
    <col min="10" max="10" width="17.42578125" bestFit="1" customWidth="1"/>
    <col min="11" max="11" width="10.5703125" customWidth="1"/>
    <col min="12" max="12" width="11.5703125" customWidth="1"/>
    <col min="13" max="13" width="26.140625" customWidth="1"/>
    <col min="14" max="14" width="31.140625" customWidth="1"/>
    <col min="15" max="15" width="56.28515625" customWidth="1"/>
    <col min="16" max="16" width="19.140625" customWidth="1"/>
    <col min="17" max="18" width="14.42578125" customWidth="1"/>
    <col min="19" max="19" width="8.85546875" bestFit="1" customWidth="1"/>
    <col min="23" max="23" width="36" bestFit="1" customWidth="1"/>
  </cols>
  <sheetData>
    <row r="1" spans="1:23" x14ac:dyDescent="0.25">
      <c r="A1" s="7" t="s">
        <v>3</v>
      </c>
      <c r="B1" s="7" t="s">
        <v>28</v>
      </c>
      <c r="C1" s="19" t="s">
        <v>29</v>
      </c>
      <c r="D1" s="19" t="s">
        <v>30</v>
      </c>
      <c r="E1" s="12" t="s">
        <v>31</v>
      </c>
      <c r="F1" s="13" t="s">
        <v>32</v>
      </c>
      <c r="H1" t="s">
        <v>33</v>
      </c>
      <c r="J1" s="17" t="s">
        <v>34</v>
      </c>
      <c r="M1" s="64" t="s">
        <v>35</v>
      </c>
      <c r="N1" s="65" t="s">
        <v>36</v>
      </c>
      <c r="O1" s="65" t="s">
        <v>10</v>
      </c>
      <c r="P1" s="66" t="s">
        <v>37</v>
      </c>
      <c r="Q1" s="66" t="s">
        <v>38</v>
      </c>
      <c r="R1" s="66" t="s">
        <v>39</v>
      </c>
      <c r="S1" s="66" t="s">
        <v>40</v>
      </c>
      <c r="W1" t="s">
        <v>16</v>
      </c>
    </row>
    <row r="2" spans="1:23" x14ac:dyDescent="0.25">
      <c r="A2" s="9">
        <v>9405</v>
      </c>
      <c r="B2" s="2" t="s">
        <v>41</v>
      </c>
      <c r="C2" s="2" t="s">
        <v>42</v>
      </c>
      <c r="D2" s="2" t="s">
        <v>43</v>
      </c>
      <c r="E2" s="67">
        <v>3000000</v>
      </c>
      <c r="F2" s="11"/>
      <c r="H2" t="s">
        <v>44</v>
      </c>
      <c r="J2" s="17" t="s">
        <v>45</v>
      </c>
      <c r="M2" s="66" t="s">
        <v>26</v>
      </c>
      <c r="N2" s="70" t="s">
        <v>46</v>
      </c>
      <c r="O2" s="68"/>
      <c r="P2" s="71" t="s">
        <v>47</v>
      </c>
      <c r="Q2" s="71" t="s">
        <v>48</v>
      </c>
      <c r="R2" s="71" t="s">
        <v>49</v>
      </c>
      <c r="S2" s="28">
        <v>103750</v>
      </c>
      <c r="W2" s="66" t="s">
        <v>26</v>
      </c>
    </row>
    <row r="3" spans="1:23" x14ac:dyDescent="0.25">
      <c r="A3" s="9">
        <v>9406</v>
      </c>
      <c r="B3" s="2" t="s">
        <v>50</v>
      </c>
      <c r="C3" s="2" t="s">
        <v>51</v>
      </c>
      <c r="D3" s="2" t="s">
        <v>52</v>
      </c>
      <c r="E3" s="57">
        <v>2500000</v>
      </c>
      <c r="F3" s="69">
        <v>2500000</v>
      </c>
      <c r="H3" t="s">
        <v>53</v>
      </c>
      <c r="J3" s="17" t="s">
        <v>54</v>
      </c>
      <c r="M3" s="66" t="s">
        <v>26</v>
      </c>
      <c r="N3" s="70" t="s">
        <v>55</v>
      </c>
      <c r="O3" s="68" t="s">
        <v>56</v>
      </c>
      <c r="P3" s="71" t="s">
        <v>47</v>
      </c>
      <c r="Q3" s="71" t="s">
        <v>48</v>
      </c>
      <c r="R3" s="71" t="s">
        <v>49</v>
      </c>
      <c r="S3" s="28">
        <v>103750</v>
      </c>
      <c r="W3" s="66" t="s">
        <v>22</v>
      </c>
    </row>
    <row r="4" spans="1:23" x14ac:dyDescent="0.25">
      <c r="A4" s="9">
        <v>9410</v>
      </c>
      <c r="B4" s="2" t="s">
        <v>57</v>
      </c>
      <c r="C4" s="2" t="s">
        <v>58</v>
      </c>
      <c r="D4" s="2" t="s">
        <v>52</v>
      </c>
      <c r="E4" s="3">
        <v>2500000</v>
      </c>
      <c r="F4" s="72">
        <v>2500000</v>
      </c>
      <c r="H4" t="s">
        <v>59</v>
      </c>
      <c r="J4" s="17" t="s">
        <v>60</v>
      </c>
      <c r="M4" s="66" t="s">
        <v>26</v>
      </c>
      <c r="N4" s="70" t="s">
        <v>61</v>
      </c>
      <c r="O4" s="68" t="s">
        <v>62</v>
      </c>
      <c r="P4" s="71" t="s">
        <v>47</v>
      </c>
      <c r="Q4" s="71" t="s">
        <v>48</v>
      </c>
      <c r="R4" s="71" t="s">
        <v>49</v>
      </c>
      <c r="S4" s="28">
        <v>104688</v>
      </c>
      <c r="W4" s="66" t="s">
        <v>21</v>
      </c>
    </row>
    <row r="5" spans="1:23" x14ac:dyDescent="0.25">
      <c r="A5" s="9">
        <v>9413</v>
      </c>
      <c r="B5" s="2" t="s">
        <v>63</v>
      </c>
      <c r="C5" s="2" t="s">
        <v>64</v>
      </c>
      <c r="D5" s="2" t="s">
        <v>43</v>
      </c>
      <c r="E5" s="67">
        <v>2000000</v>
      </c>
      <c r="F5" s="60"/>
      <c r="H5" t="s">
        <v>65</v>
      </c>
      <c r="J5" s="17" t="s">
        <v>66</v>
      </c>
      <c r="M5" s="66" t="s">
        <v>26</v>
      </c>
      <c r="N5" s="70" t="s">
        <v>20</v>
      </c>
      <c r="O5" s="68" t="s">
        <v>67</v>
      </c>
      <c r="P5" s="71" t="s">
        <v>47</v>
      </c>
      <c r="Q5" s="71" t="s">
        <v>68</v>
      </c>
      <c r="R5" s="71" t="s">
        <v>49</v>
      </c>
      <c r="S5" s="28">
        <v>105625</v>
      </c>
    </row>
    <row r="6" spans="1:23" x14ac:dyDescent="0.25">
      <c r="A6" s="9">
        <v>9415</v>
      </c>
      <c r="B6" s="2" t="s">
        <v>69</v>
      </c>
      <c r="C6" s="2" t="s">
        <v>70</v>
      </c>
      <c r="D6" s="2" t="s">
        <v>43</v>
      </c>
      <c r="E6" s="73">
        <v>3000000</v>
      </c>
      <c r="F6" s="11"/>
      <c r="H6" t="s">
        <v>71</v>
      </c>
      <c r="J6" s="17" t="s">
        <v>72</v>
      </c>
      <c r="M6" s="66" t="s">
        <v>26</v>
      </c>
      <c r="N6" s="70" t="s">
        <v>25</v>
      </c>
      <c r="O6" s="68" t="s">
        <v>73</v>
      </c>
      <c r="P6" s="71" t="s">
        <v>47</v>
      </c>
      <c r="Q6" s="71" t="s">
        <v>74</v>
      </c>
      <c r="R6" s="71" t="s">
        <v>49</v>
      </c>
      <c r="S6" s="28">
        <v>111250</v>
      </c>
    </row>
    <row r="7" spans="1:23" x14ac:dyDescent="0.25">
      <c r="A7" s="9">
        <v>9416</v>
      </c>
      <c r="B7" s="2" t="s">
        <v>75</v>
      </c>
      <c r="C7" s="2" t="s">
        <v>76</v>
      </c>
      <c r="D7" s="2" t="s">
        <v>43</v>
      </c>
      <c r="E7" s="73">
        <v>5000000</v>
      </c>
      <c r="F7" s="11"/>
      <c r="H7" t="s">
        <v>77</v>
      </c>
      <c r="J7" s="17" t="s">
        <v>78</v>
      </c>
      <c r="M7" s="66" t="s">
        <v>26</v>
      </c>
      <c r="N7" s="70" t="s">
        <v>79</v>
      </c>
      <c r="O7" s="68" t="s">
        <v>80</v>
      </c>
      <c r="P7" s="71" t="s">
        <v>47</v>
      </c>
      <c r="Q7" s="71" t="s">
        <v>81</v>
      </c>
      <c r="R7" s="71" t="s">
        <v>49</v>
      </c>
      <c r="S7" s="28">
        <v>101313</v>
      </c>
    </row>
    <row r="8" spans="1:23" x14ac:dyDescent="0.25">
      <c r="A8" s="9">
        <v>9418</v>
      </c>
      <c r="B8" s="2" t="s">
        <v>82</v>
      </c>
      <c r="C8" s="2" t="s">
        <v>83</v>
      </c>
      <c r="D8" s="2" t="s">
        <v>43</v>
      </c>
      <c r="E8" s="73">
        <v>2000000</v>
      </c>
      <c r="F8" s="11"/>
      <c r="H8" t="s">
        <v>84</v>
      </c>
      <c r="J8" s="17" t="s">
        <v>85</v>
      </c>
      <c r="M8" s="66" t="s">
        <v>26</v>
      </c>
      <c r="N8" s="70" t="s">
        <v>86</v>
      </c>
      <c r="O8" s="68" t="s">
        <v>87</v>
      </c>
      <c r="P8" s="71" t="s">
        <v>47</v>
      </c>
      <c r="Q8" s="71" t="s">
        <v>88</v>
      </c>
      <c r="R8" s="71" t="s">
        <v>49</v>
      </c>
      <c r="S8" s="28">
        <v>104688</v>
      </c>
    </row>
    <row r="9" spans="1:23" x14ac:dyDescent="0.25">
      <c r="A9" s="9">
        <v>9419</v>
      </c>
      <c r="B9" s="2" t="s">
        <v>89</v>
      </c>
      <c r="C9" s="2" t="s">
        <v>90</v>
      </c>
      <c r="D9" s="2" t="s">
        <v>43</v>
      </c>
      <c r="E9" s="73">
        <v>2000000</v>
      </c>
      <c r="F9" s="11"/>
      <c r="H9" t="s">
        <v>91</v>
      </c>
      <c r="J9" s="17" t="s">
        <v>92</v>
      </c>
      <c r="M9" s="66" t="s">
        <v>26</v>
      </c>
      <c r="N9" s="70" t="s">
        <v>93</v>
      </c>
      <c r="O9" s="68" t="s">
        <v>94</v>
      </c>
      <c r="P9" s="71" t="s">
        <v>47</v>
      </c>
      <c r="Q9" s="71" t="s">
        <v>95</v>
      </c>
      <c r="R9" s="71" t="s">
        <v>49</v>
      </c>
      <c r="S9" s="28">
        <v>106000</v>
      </c>
    </row>
    <row r="10" spans="1:23" x14ac:dyDescent="0.25">
      <c r="A10" s="9">
        <v>9422</v>
      </c>
      <c r="B10" s="2" t="s">
        <v>96</v>
      </c>
      <c r="C10" s="2" t="s">
        <v>97</v>
      </c>
      <c r="D10" s="2" t="s">
        <v>43</v>
      </c>
      <c r="E10" s="73">
        <v>3000000</v>
      </c>
      <c r="F10" s="11"/>
      <c r="H10" t="s">
        <v>98</v>
      </c>
      <c r="J10" s="17" t="s">
        <v>99</v>
      </c>
      <c r="M10" s="66" t="s">
        <v>26</v>
      </c>
      <c r="N10" s="70" t="s">
        <v>24</v>
      </c>
      <c r="O10" s="68" t="s">
        <v>100</v>
      </c>
      <c r="P10" s="71" t="s">
        <v>47</v>
      </c>
      <c r="Q10" s="71" t="s">
        <v>101</v>
      </c>
      <c r="R10" s="71" t="s">
        <v>49</v>
      </c>
      <c r="S10" s="28">
        <v>100375</v>
      </c>
    </row>
    <row r="11" spans="1:23" x14ac:dyDescent="0.25">
      <c r="A11" s="9">
        <v>9426</v>
      </c>
      <c r="B11" s="2" t="s">
        <v>102</v>
      </c>
      <c r="C11" s="2" t="s">
        <v>103</v>
      </c>
      <c r="D11" s="2" t="s">
        <v>43</v>
      </c>
      <c r="E11" s="73">
        <v>5000000</v>
      </c>
      <c r="F11" s="11"/>
      <c r="H11" t="s">
        <v>104</v>
      </c>
      <c r="J11" s="17" t="s">
        <v>105</v>
      </c>
      <c r="M11" s="66" t="s">
        <v>26</v>
      </c>
      <c r="N11" s="70" t="s">
        <v>106</v>
      </c>
      <c r="O11" s="68" t="s">
        <v>107</v>
      </c>
      <c r="P11" s="71" t="s">
        <v>47</v>
      </c>
      <c r="Q11" s="71" t="s">
        <v>95</v>
      </c>
      <c r="R11" s="71" t="s">
        <v>49</v>
      </c>
      <c r="S11" s="28">
        <v>106563</v>
      </c>
    </row>
    <row r="12" spans="1:23" x14ac:dyDescent="0.25">
      <c r="A12" s="9">
        <v>9428</v>
      </c>
      <c r="B12" s="2" t="s">
        <v>108</v>
      </c>
      <c r="C12" s="2" t="s">
        <v>109</v>
      </c>
      <c r="D12" s="2" t="s">
        <v>43</v>
      </c>
      <c r="E12" s="73">
        <v>5000000</v>
      </c>
      <c r="F12" s="11"/>
      <c r="H12" t="s">
        <v>110</v>
      </c>
      <c r="J12" s="17" t="s">
        <v>111</v>
      </c>
      <c r="M12" s="66" t="s">
        <v>26</v>
      </c>
      <c r="N12" s="70" t="s">
        <v>112</v>
      </c>
      <c r="O12" s="68" t="s">
        <v>113</v>
      </c>
      <c r="P12" s="71" t="s">
        <v>47</v>
      </c>
      <c r="Q12" s="71" t="s">
        <v>101</v>
      </c>
      <c r="R12" s="71" t="s">
        <v>49</v>
      </c>
      <c r="S12" s="28">
        <v>100000</v>
      </c>
    </row>
    <row r="13" spans="1:23" x14ac:dyDescent="0.25">
      <c r="A13" s="9">
        <v>9431</v>
      </c>
      <c r="B13" s="2" t="s">
        <v>114</v>
      </c>
      <c r="C13" s="2" t="s">
        <v>115</v>
      </c>
      <c r="D13" s="2" t="s">
        <v>43</v>
      </c>
      <c r="E13" s="73">
        <v>2300000</v>
      </c>
      <c r="F13" s="11"/>
      <c r="H13" t="s">
        <v>116</v>
      </c>
      <c r="J13" s="17" t="s">
        <v>117</v>
      </c>
      <c r="M13" s="66" t="s">
        <v>26</v>
      </c>
      <c r="N13" s="70" t="s">
        <v>118</v>
      </c>
      <c r="O13" s="68" t="s">
        <v>119</v>
      </c>
      <c r="P13" s="71" t="s">
        <v>47</v>
      </c>
      <c r="Q13" s="71" t="s">
        <v>120</v>
      </c>
      <c r="R13" s="71" t="s">
        <v>49</v>
      </c>
      <c r="S13" s="28">
        <v>105625</v>
      </c>
    </row>
    <row r="14" spans="1:23" x14ac:dyDescent="0.25">
      <c r="A14" s="9">
        <v>9433</v>
      </c>
      <c r="B14" s="2" t="s">
        <v>121</v>
      </c>
      <c r="C14" s="2" t="s">
        <v>122</v>
      </c>
      <c r="D14" s="2" t="s">
        <v>43</v>
      </c>
      <c r="E14" s="73">
        <v>3000000</v>
      </c>
      <c r="F14" s="11"/>
      <c r="J14" s="17" t="s">
        <v>123</v>
      </c>
      <c r="M14" s="66" t="s">
        <v>26</v>
      </c>
      <c r="N14" s="70" t="s">
        <v>124</v>
      </c>
      <c r="O14" s="68" t="s">
        <v>125</v>
      </c>
      <c r="P14" s="71" t="s">
        <v>47</v>
      </c>
      <c r="Q14" s="71" t="s">
        <v>126</v>
      </c>
      <c r="R14" s="71" t="s">
        <v>49</v>
      </c>
      <c r="S14" s="28">
        <v>106000</v>
      </c>
    </row>
    <row r="15" spans="1:23" x14ac:dyDescent="0.25">
      <c r="A15" s="9">
        <v>9444</v>
      </c>
      <c r="B15" s="2" t="s">
        <v>127</v>
      </c>
      <c r="C15" s="2" t="s">
        <v>128</v>
      </c>
      <c r="D15" s="2" t="s">
        <v>52</v>
      </c>
      <c r="E15" s="57">
        <v>1000000</v>
      </c>
      <c r="F15" s="69">
        <v>1000000</v>
      </c>
      <c r="J15" s="17" t="s">
        <v>129</v>
      </c>
      <c r="M15" s="66" t="s">
        <v>26</v>
      </c>
      <c r="N15" s="70" t="s">
        <v>130</v>
      </c>
      <c r="O15" s="68" t="s">
        <v>131</v>
      </c>
      <c r="P15" s="71" t="s">
        <v>47</v>
      </c>
      <c r="Q15" s="71" t="s">
        <v>132</v>
      </c>
      <c r="R15" s="71" t="s">
        <v>49</v>
      </c>
      <c r="S15" s="28">
        <v>106000</v>
      </c>
    </row>
    <row r="16" spans="1:23" x14ac:dyDescent="0.25">
      <c r="A16" s="9">
        <v>9446</v>
      </c>
      <c r="B16" s="2" t="s">
        <v>133</v>
      </c>
      <c r="C16" s="2" t="s">
        <v>134</v>
      </c>
      <c r="D16" s="2" t="s">
        <v>43</v>
      </c>
      <c r="E16" s="67">
        <v>1500000</v>
      </c>
      <c r="F16" s="60"/>
      <c r="J16" s="18" t="s">
        <v>135</v>
      </c>
      <c r="M16" s="66" t="s">
        <v>26</v>
      </c>
      <c r="N16" s="70" t="s">
        <v>136</v>
      </c>
      <c r="O16" s="68" t="s">
        <v>137</v>
      </c>
      <c r="P16" s="71" t="s">
        <v>47</v>
      </c>
      <c r="Q16" s="71" t="s">
        <v>138</v>
      </c>
      <c r="R16" s="71" t="s">
        <v>49</v>
      </c>
      <c r="S16" s="28">
        <v>100563</v>
      </c>
    </row>
    <row r="17" spans="1:19" x14ac:dyDescent="0.25">
      <c r="A17" s="9">
        <v>9458</v>
      </c>
      <c r="B17" s="2" t="s">
        <v>139</v>
      </c>
      <c r="C17" s="2" t="s">
        <v>140</v>
      </c>
      <c r="D17" s="2" t="s">
        <v>43</v>
      </c>
      <c r="E17" s="73">
        <v>4500000</v>
      </c>
      <c r="F17" s="11"/>
      <c r="J17" s="18" t="s">
        <v>141</v>
      </c>
      <c r="M17" s="66" t="s">
        <v>26</v>
      </c>
      <c r="N17" s="70" t="s">
        <v>142</v>
      </c>
      <c r="O17" s="68" t="s">
        <v>143</v>
      </c>
      <c r="P17" s="71" t="s">
        <v>47</v>
      </c>
      <c r="Q17" s="71" t="s">
        <v>144</v>
      </c>
      <c r="R17" s="71" t="s">
        <v>49</v>
      </c>
      <c r="S17" s="28">
        <v>102250</v>
      </c>
    </row>
    <row r="18" spans="1:19" x14ac:dyDescent="0.25">
      <c r="A18" s="9">
        <v>9460</v>
      </c>
      <c r="B18" s="2" t="s">
        <v>145</v>
      </c>
      <c r="C18" s="2" t="s">
        <v>146</v>
      </c>
      <c r="D18" s="2" t="s">
        <v>52</v>
      </c>
      <c r="E18" s="69">
        <v>1100000</v>
      </c>
      <c r="F18" s="69">
        <v>1100000</v>
      </c>
      <c r="J18" s="17" t="s">
        <v>147</v>
      </c>
      <c r="M18" s="66" t="s">
        <v>26</v>
      </c>
      <c r="N18" s="70" t="s">
        <v>148</v>
      </c>
      <c r="O18" s="68" t="s">
        <v>149</v>
      </c>
      <c r="P18" s="71" t="s">
        <v>47</v>
      </c>
      <c r="Q18" s="71" t="s">
        <v>150</v>
      </c>
      <c r="R18" s="71" t="s">
        <v>49</v>
      </c>
      <c r="S18" s="28">
        <v>103000</v>
      </c>
    </row>
    <row r="19" spans="1:19" x14ac:dyDescent="0.25">
      <c r="A19" s="10">
        <v>9461</v>
      </c>
      <c r="B19" s="5" t="s">
        <v>151</v>
      </c>
      <c r="C19" s="5"/>
      <c r="D19" s="5"/>
      <c r="E19" s="74">
        <v>0</v>
      </c>
      <c r="F19" s="61">
        <v>0</v>
      </c>
      <c r="J19" s="17" t="s">
        <v>152</v>
      </c>
      <c r="M19" s="66" t="s">
        <v>26</v>
      </c>
      <c r="N19" s="70" t="s">
        <v>153</v>
      </c>
      <c r="O19" s="68" t="s">
        <v>154</v>
      </c>
      <c r="P19" s="71" t="s">
        <v>47</v>
      </c>
      <c r="Q19" s="71" t="s">
        <v>138</v>
      </c>
      <c r="R19" s="71" t="s">
        <v>49</v>
      </c>
      <c r="S19" s="28">
        <v>102250</v>
      </c>
    </row>
    <row r="20" spans="1:19" x14ac:dyDescent="0.25">
      <c r="A20" s="9">
        <v>9586</v>
      </c>
      <c r="B20" s="2" t="s">
        <v>155</v>
      </c>
      <c r="C20" s="2" t="s">
        <v>156</v>
      </c>
      <c r="D20" s="2" t="s">
        <v>43</v>
      </c>
      <c r="E20" s="73">
        <v>2200000</v>
      </c>
      <c r="F20" s="11"/>
      <c r="J20" s="18" t="s">
        <v>157</v>
      </c>
      <c r="M20" s="66" t="s">
        <v>26</v>
      </c>
      <c r="N20" s="70" t="s">
        <v>158</v>
      </c>
      <c r="O20" s="68" t="s">
        <v>159</v>
      </c>
      <c r="P20" s="71" t="s">
        <v>47</v>
      </c>
      <c r="Q20" s="71" t="s">
        <v>74</v>
      </c>
      <c r="R20" s="71" t="s">
        <v>49</v>
      </c>
      <c r="S20" s="28">
        <v>109375</v>
      </c>
    </row>
    <row r="21" spans="1:19" x14ac:dyDescent="0.25">
      <c r="A21" s="9">
        <v>9592</v>
      </c>
      <c r="B21" s="2" t="s">
        <v>160</v>
      </c>
      <c r="C21" s="2" t="s">
        <v>161</v>
      </c>
      <c r="D21" s="2" t="s">
        <v>43</v>
      </c>
      <c r="E21" s="73">
        <v>1000000</v>
      </c>
      <c r="F21" s="11"/>
      <c r="J21" s="18" t="s">
        <v>162</v>
      </c>
      <c r="M21" s="66" t="s">
        <v>26</v>
      </c>
      <c r="N21" s="70" t="s">
        <v>163</v>
      </c>
      <c r="O21" s="68"/>
      <c r="P21" s="71" t="s">
        <v>47</v>
      </c>
      <c r="Q21" s="71" t="s">
        <v>164</v>
      </c>
      <c r="R21" s="71" t="s">
        <v>49</v>
      </c>
      <c r="S21" s="28">
        <v>104688</v>
      </c>
    </row>
    <row r="22" spans="1:19" x14ac:dyDescent="0.25">
      <c r="A22" s="9">
        <v>9593</v>
      </c>
      <c r="B22" s="2" t="s">
        <v>165</v>
      </c>
      <c r="C22" s="2" t="s">
        <v>166</v>
      </c>
      <c r="D22" s="2" t="s">
        <v>43</v>
      </c>
      <c r="E22" s="73">
        <v>2000000</v>
      </c>
      <c r="F22" s="11"/>
      <c r="J22" s="18" t="s">
        <v>167</v>
      </c>
      <c r="M22" s="66" t="s">
        <v>26</v>
      </c>
      <c r="N22" s="70" t="s">
        <v>168</v>
      </c>
      <c r="O22" s="68" t="s">
        <v>169</v>
      </c>
      <c r="P22" s="71" t="s">
        <v>47</v>
      </c>
      <c r="Q22" s="71" t="s">
        <v>120</v>
      </c>
      <c r="R22" s="71" t="s">
        <v>49</v>
      </c>
      <c r="S22" s="28">
        <v>102813</v>
      </c>
    </row>
    <row r="23" spans="1:19" x14ac:dyDescent="0.25">
      <c r="A23" s="9">
        <v>9599</v>
      </c>
      <c r="B23" s="2" t="s">
        <v>170</v>
      </c>
      <c r="C23" s="2" t="s">
        <v>171</v>
      </c>
      <c r="D23" s="2" t="s">
        <v>43</v>
      </c>
      <c r="E23" s="73">
        <v>2000000</v>
      </c>
      <c r="F23" s="11"/>
      <c r="J23" s="18" t="s">
        <v>172</v>
      </c>
      <c r="M23" s="66" t="s">
        <v>26</v>
      </c>
      <c r="N23" s="70" t="s">
        <v>173</v>
      </c>
      <c r="O23" s="68" t="s">
        <v>174</v>
      </c>
      <c r="P23" s="71" t="s">
        <v>47</v>
      </c>
      <c r="Q23" s="71" t="s">
        <v>120</v>
      </c>
      <c r="R23" s="71" t="s">
        <v>49</v>
      </c>
      <c r="S23" s="28">
        <v>101500</v>
      </c>
    </row>
    <row r="24" spans="1:19" x14ac:dyDescent="0.25">
      <c r="A24" s="9">
        <v>9600</v>
      </c>
      <c r="B24" s="2" t="s">
        <v>175</v>
      </c>
      <c r="C24" s="2" t="s">
        <v>176</v>
      </c>
      <c r="D24" s="2" t="s">
        <v>43</v>
      </c>
      <c r="E24" s="73">
        <v>2000000</v>
      </c>
      <c r="F24" s="11"/>
      <c r="J24" s="18" t="s">
        <v>177</v>
      </c>
      <c r="M24" s="66" t="s">
        <v>26</v>
      </c>
      <c r="N24" s="70" t="s">
        <v>178</v>
      </c>
      <c r="O24" s="68"/>
      <c r="P24" s="71" t="s">
        <v>47</v>
      </c>
      <c r="Q24" s="71" t="s">
        <v>48</v>
      </c>
      <c r="R24" s="71" t="s">
        <v>49</v>
      </c>
      <c r="S24" s="28">
        <v>105250</v>
      </c>
    </row>
    <row r="25" spans="1:19" x14ac:dyDescent="0.25">
      <c r="A25" s="9">
        <v>9601</v>
      </c>
      <c r="B25" s="2" t="s">
        <v>179</v>
      </c>
      <c r="C25" s="2" t="s">
        <v>180</v>
      </c>
      <c r="D25" s="2" t="s">
        <v>52</v>
      </c>
      <c r="E25" s="57">
        <v>1500000</v>
      </c>
      <c r="F25" s="69">
        <v>1500000</v>
      </c>
      <c r="J25" s="18" t="s">
        <v>181</v>
      </c>
      <c r="M25" s="66" t="s">
        <v>26</v>
      </c>
      <c r="N25" s="70" t="s">
        <v>182</v>
      </c>
      <c r="O25" s="68" t="s">
        <v>183</v>
      </c>
      <c r="P25" s="71" t="s">
        <v>47</v>
      </c>
      <c r="Q25" s="71" t="s">
        <v>81</v>
      </c>
      <c r="R25" s="71" t="s">
        <v>49</v>
      </c>
      <c r="S25" s="28">
        <v>101313</v>
      </c>
    </row>
    <row r="26" spans="1:19" x14ac:dyDescent="0.25">
      <c r="A26" s="9">
        <v>9608</v>
      </c>
      <c r="B26" s="2" t="s">
        <v>184</v>
      </c>
      <c r="C26" s="2" t="s">
        <v>185</v>
      </c>
      <c r="D26" s="2" t="s">
        <v>52</v>
      </c>
      <c r="E26" s="3">
        <v>1900000</v>
      </c>
      <c r="F26" s="72">
        <v>1900000</v>
      </c>
      <c r="M26" s="66" t="s">
        <v>26</v>
      </c>
      <c r="N26" s="70" t="s">
        <v>186</v>
      </c>
      <c r="O26" s="68" t="s">
        <v>187</v>
      </c>
      <c r="P26" s="71" t="s">
        <v>47</v>
      </c>
      <c r="Q26" s="71" t="s">
        <v>88</v>
      </c>
      <c r="R26" s="71" t="s">
        <v>49</v>
      </c>
      <c r="S26" s="28">
        <v>104313</v>
      </c>
    </row>
    <row r="27" spans="1:19" x14ac:dyDescent="0.25">
      <c r="A27" s="9">
        <v>9611</v>
      </c>
      <c r="B27" s="2" t="s">
        <v>188</v>
      </c>
      <c r="C27" s="2" t="s">
        <v>189</v>
      </c>
      <c r="D27" s="2" t="s">
        <v>43</v>
      </c>
      <c r="E27" s="67">
        <v>2000000</v>
      </c>
      <c r="F27" s="60"/>
      <c r="M27" s="66" t="s">
        <v>26</v>
      </c>
      <c r="N27" s="70" t="s">
        <v>190</v>
      </c>
      <c r="O27" s="68" t="s">
        <v>191</v>
      </c>
      <c r="P27" s="71" t="s">
        <v>47</v>
      </c>
      <c r="Q27" s="71" t="s">
        <v>192</v>
      </c>
      <c r="R27" s="71" t="s">
        <v>49</v>
      </c>
      <c r="S27" s="28">
        <v>110313</v>
      </c>
    </row>
    <row r="28" spans="1:19" x14ac:dyDescent="0.25">
      <c r="A28" s="9">
        <v>9614</v>
      </c>
      <c r="B28" s="2" t="s">
        <v>193</v>
      </c>
      <c r="C28" s="2" t="s">
        <v>194</v>
      </c>
      <c r="D28" s="2" t="s">
        <v>43</v>
      </c>
      <c r="E28" s="73">
        <v>2000000</v>
      </c>
      <c r="F28" s="11"/>
      <c r="M28" s="66" t="s">
        <v>26</v>
      </c>
      <c r="N28" s="70" t="s">
        <v>195</v>
      </c>
      <c r="O28" s="68" t="s">
        <v>196</v>
      </c>
      <c r="P28" s="71" t="s">
        <v>47</v>
      </c>
      <c r="Q28" s="71" t="s">
        <v>197</v>
      </c>
      <c r="R28" s="71" t="s">
        <v>49</v>
      </c>
      <c r="S28" s="28">
        <v>101875</v>
      </c>
    </row>
    <row r="29" spans="1:19" x14ac:dyDescent="0.25">
      <c r="A29" s="9">
        <v>9625</v>
      </c>
      <c r="B29" s="2" t="s">
        <v>198</v>
      </c>
      <c r="C29" s="2" t="s">
        <v>199</v>
      </c>
      <c r="D29" s="2" t="s">
        <v>43</v>
      </c>
      <c r="E29" s="73">
        <v>3500000</v>
      </c>
      <c r="F29" s="11"/>
      <c r="M29" s="66" t="s">
        <v>26</v>
      </c>
      <c r="N29" s="70" t="s">
        <v>200</v>
      </c>
      <c r="O29" s="68" t="s">
        <v>201</v>
      </c>
      <c r="P29" s="71" t="s">
        <v>47</v>
      </c>
      <c r="Q29" s="71" t="s">
        <v>202</v>
      </c>
      <c r="R29" s="71" t="s">
        <v>49</v>
      </c>
      <c r="S29" s="75">
        <v>103375</v>
      </c>
    </row>
    <row r="30" spans="1:19" x14ac:dyDescent="0.25">
      <c r="A30" s="9">
        <v>9629</v>
      </c>
      <c r="B30" s="2" t="s">
        <v>203</v>
      </c>
      <c r="C30" s="2" t="s">
        <v>204</v>
      </c>
      <c r="D30" s="2" t="s">
        <v>52</v>
      </c>
      <c r="E30" s="57">
        <v>1000000</v>
      </c>
      <c r="F30" s="69">
        <v>1000000</v>
      </c>
      <c r="M30" s="66" t="s">
        <v>26</v>
      </c>
      <c r="N30" s="70" t="s">
        <v>205</v>
      </c>
      <c r="O30" s="68" t="s">
        <v>206</v>
      </c>
      <c r="P30" s="71" t="s">
        <v>47</v>
      </c>
      <c r="Q30" s="71" t="s">
        <v>48</v>
      </c>
      <c r="R30" s="71" t="s">
        <v>49</v>
      </c>
      <c r="S30" s="75">
        <v>105813</v>
      </c>
    </row>
    <row r="31" spans="1:19" x14ac:dyDescent="0.25">
      <c r="A31" s="9">
        <v>9631</v>
      </c>
      <c r="B31" s="2" t="s">
        <v>207</v>
      </c>
      <c r="C31" s="2" t="s">
        <v>208</v>
      </c>
      <c r="D31" s="2" t="s">
        <v>52</v>
      </c>
      <c r="E31" s="3">
        <v>1000000</v>
      </c>
      <c r="F31" s="72">
        <v>1000000</v>
      </c>
      <c r="M31" s="66" t="s">
        <v>26</v>
      </c>
      <c r="N31" s="70" t="s">
        <v>209</v>
      </c>
      <c r="O31" s="68" t="s">
        <v>210</v>
      </c>
      <c r="P31" s="71" t="s">
        <v>47</v>
      </c>
      <c r="Q31" s="71" t="s">
        <v>211</v>
      </c>
      <c r="R31" s="71" t="s">
        <v>49</v>
      </c>
      <c r="S31" s="75">
        <v>100375</v>
      </c>
    </row>
    <row r="32" spans="1:19" x14ac:dyDescent="0.25">
      <c r="A32" s="9">
        <v>9690</v>
      </c>
      <c r="B32" s="2" t="s">
        <v>212</v>
      </c>
      <c r="C32" s="2" t="s">
        <v>213</v>
      </c>
      <c r="D32" s="2" t="s">
        <v>52</v>
      </c>
      <c r="E32" s="3">
        <v>1400000</v>
      </c>
      <c r="F32" s="72">
        <v>1400000</v>
      </c>
      <c r="M32" s="66" t="s">
        <v>26</v>
      </c>
      <c r="N32" s="70" t="s">
        <v>214</v>
      </c>
      <c r="O32" s="68" t="s">
        <v>215</v>
      </c>
      <c r="P32" s="71" t="s">
        <v>47</v>
      </c>
      <c r="Q32" s="71" t="s">
        <v>216</v>
      </c>
      <c r="R32" s="71" t="s">
        <v>49</v>
      </c>
      <c r="S32" s="75">
        <v>107125</v>
      </c>
    </row>
    <row r="33" spans="1:19" x14ac:dyDescent="0.25">
      <c r="A33" s="9">
        <v>9693</v>
      </c>
      <c r="B33" s="2" t="s">
        <v>217</v>
      </c>
      <c r="C33" s="2" t="s">
        <v>218</v>
      </c>
      <c r="D33" s="2" t="s">
        <v>43</v>
      </c>
      <c r="E33" s="67">
        <v>10000000</v>
      </c>
      <c r="F33" s="60"/>
      <c r="M33" s="66" t="s">
        <v>26</v>
      </c>
      <c r="N33" s="70" t="s">
        <v>219</v>
      </c>
      <c r="O33" s="68" t="s">
        <v>220</v>
      </c>
      <c r="P33" s="71" t="s">
        <v>47</v>
      </c>
      <c r="Q33" s="71" t="s">
        <v>48</v>
      </c>
      <c r="R33" s="71" t="s">
        <v>49</v>
      </c>
      <c r="S33" s="75">
        <v>103563</v>
      </c>
    </row>
    <row r="34" spans="1:19" x14ac:dyDescent="0.25">
      <c r="A34" s="9">
        <v>9695</v>
      </c>
      <c r="B34" s="2" t="s">
        <v>221</v>
      </c>
      <c r="C34" s="2" t="s">
        <v>222</v>
      </c>
      <c r="D34" s="2" t="s">
        <v>52</v>
      </c>
      <c r="E34" s="57">
        <v>2000000</v>
      </c>
      <c r="F34" s="69">
        <v>2000000</v>
      </c>
      <c r="M34" s="66" t="s">
        <v>26</v>
      </c>
      <c r="N34" s="70" t="s">
        <v>223</v>
      </c>
      <c r="O34" s="68" t="s">
        <v>224</v>
      </c>
      <c r="P34" s="71" t="s">
        <v>47</v>
      </c>
      <c r="Q34" s="71" t="s">
        <v>48</v>
      </c>
      <c r="R34" s="71" t="s">
        <v>49</v>
      </c>
      <c r="S34" s="75">
        <v>105625</v>
      </c>
    </row>
    <row r="35" spans="1:19" x14ac:dyDescent="0.25">
      <c r="A35" s="9">
        <v>9697</v>
      </c>
      <c r="B35" s="2" t="s">
        <v>225</v>
      </c>
      <c r="C35" s="2" t="s">
        <v>226</v>
      </c>
      <c r="D35" s="2" t="s">
        <v>52</v>
      </c>
      <c r="E35" s="3">
        <v>1000000</v>
      </c>
      <c r="F35" s="72">
        <v>1000000</v>
      </c>
      <c r="M35" s="66" t="s">
        <v>26</v>
      </c>
      <c r="N35" s="70" t="s">
        <v>227</v>
      </c>
      <c r="O35" s="68" t="s">
        <v>228</v>
      </c>
      <c r="P35" s="71" t="s">
        <v>47</v>
      </c>
      <c r="Q35" s="71" t="s">
        <v>229</v>
      </c>
      <c r="R35" s="71" t="s">
        <v>49</v>
      </c>
      <c r="S35" s="75">
        <v>105438</v>
      </c>
    </row>
    <row r="36" spans="1:19" x14ac:dyDescent="0.25">
      <c r="A36" s="9">
        <v>9699</v>
      </c>
      <c r="B36" s="2" t="s">
        <v>230</v>
      </c>
      <c r="C36" s="2" t="s">
        <v>231</v>
      </c>
      <c r="D36" s="2" t="s">
        <v>43</v>
      </c>
      <c r="E36" s="67">
        <v>5000000</v>
      </c>
      <c r="F36" s="60"/>
      <c r="M36" s="66" t="s">
        <v>26</v>
      </c>
      <c r="N36" s="70" t="s">
        <v>232</v>
      </c>
      <c r="O36" s="68" t="s">
        <v>233</v>
      </c>
      <c r="P36" s="71" t="s">
        <v>47</v>
      </c>
      <c r="Q36" s="71" t="s">
        <v>144</v>
      </c>
      <c r="R36" s="71" t="s">
        <v>49</v>
      </c>
      <c r="S36" s="75">
        <v>103375</v>
      </c>
    </row>
    <row r="37" spans="1:19" x14ac:dyDescent="0.25">
      <c r="A37" s="9">
        <v>9700</v>
      </c>
      <c r="B37" s="2" t="s">
        <v>234</v>
      </c>
      <c r="C37" s="2" t="s">
        <v>235</v>
      </c>
      <c r="D37" s="2" t="s">
        <v>43</v>
      </c>
      <c r="E37" s="73">
        <v>1500000</v>
      </c>
      <c r="F37" s="11"/>
      <c r="M37" s="66" t="s">
        <v>26</v>
      </c>
      <c r="N37" s="70" t="s">
        <v>236</v>
      </c>
      <c r="O37" s="68" t="s">
        <v>237</v>
      </c>
      <c r="P37" s="71" t="s">
        <v>47</v>
      </c>
      <c r="Q37" s="71" t="s">
        <v>229</v>
      </c>
      <c r="R37" s="71" t="s">
        <v>49</v>
      </c>
      <c r="S37" s="75">
        <v>105250</v>
      </c>
    </row>
    <row r="38" spans="1:19" x14ac:dyDescent="0.25">
      <c r="A38" s="9">
        <v>9701</v>
      </c>
      <c r="B38" s="2" t="s">
        <v>238</v>
      </c>
      <c r="C38" s="2" t="s">
        <v>239</v>
      </c>
      <c r="D38" s="2" t="s">
        <v>43</v>
      </c>
      <c r="E38" s="73">
        <v>2500000</v>
      </c>
      <c r="F38" s="11"/>
      <c r="M38" s="66" t="s">
        <v>26</v>
      </c>
      <c r="N38" s="70" t="s">
        <v>240</v>
      </c>
      <c r="O38" s="68" t="s">
        <v>241</v>
      </c>
      <c r="P38" s="71" t="s">
        <v>47</v>
      </c>
      <c r="Q38" s="71" t="s">
        <v>48</v>
      </c>
      <c r="R38" s="71" t="s">
        <v>49</v>
      </c>
      <c r="S38" s="75">
        <v>105063</v>
      </c>
    </row>
    <row r="39" spans="1:19" x14ac:dyDescent="0.25">
      <c r="A39" s="9">
        <v>9703</v>
      </c>
      <c r="B39" s="2" t="s">
        <v>242</v>
      </c>
      <c r="C39" s="2" t="s">
        <v>243</v>
      </c>
      <c r="D39" s="2" t="s">
        <v>43</v>
      </c>
      <c r="E39" s="73">
        <v>2500000</v>
      </c>
      <c r="F39" s="11"/>
      <c r="M39" s="66" t="s">
        <v>26</v>
      </c>
      <c r="N39" s="70" t="s">
        <v>244</v>
      </c>
      <c r="O39" s="68" t="s">
        <v>245</v>
      </c>
      <c r="P39" s="71" t="s">
        <v>47</v>
      </c>
      <c r="Q39" s="71" t="s">
        <v>48</v>
      </c>
      <c r="R39" s="71" t="s">
        <v>49</v>
      </c>
      <c r="S39" s="75">
        <v>104875</v>
      </c>
    </row>
    <row r="40" spans="1:19" x14ac:dyDescent="0.25">
      <c r="A40" s="9">
        <v>9704</v>
      </c>
      <c r="B40" s="2" t="s">
        <v>246</v>
      </c>
      <c r="C40" s="2" t="s">
        <v>247</v>
      </c>
      <c r="D40" s="2" t="s">
        <v>52</v>
      </c>
      <c r="E40" s="57">
        <v>1000000</v>
      </c>
      <c r="F40" s="69">
        <v>1000000</v>
      </c>
      <c r="M40" s="66" t="s">
        <v>26</v>
      </c>
      <c r="N40" s="70" t="s">
        <v>248</v>
      </c>
      <c r="O40" s="68" t="s">
        <v>249</v>
      </c>
      <c r="P40" s="71" t="s">
        <v>47</v>
      </c>
      <c r="Q40" s="71" t="s">
        <v>48</v>
      </c>
      <c r="R40" s="71" t="s">
        <v>49</v>
      </c>
      <c r="S40" s="75">
        <v>105813</v>
      </c>
    </row>
    <row r="41" spans="1:19" x14ac:dyDescent="0.25">
      <c r="A41" s="9">
        <v>9705</v>
      </c>
      <c r="B41" s="2" t="s">
        <v>250</v>
      </c>
      <c r="C41" s="2" t="s">
        <v>251</v>
      </c>
      <c r="D41" s="2" t="s">
        <v>52</v>
      </c>
      <c r="E41" s="3">
        <v>1300000</v>
      </c>
      <c r="F41" s="72">
        <v>1300000</v>
      </c>
      <c r="M41" s="66" t="s">
        <v>26</v>
      </c>
      <c r="N41" s="70" t="s">
        <v>252</v>
      </c>
      <c r="O41" s="68" t="s">
        <v>253</v>
      </c>
      <c r="P41" s="71" t="s">
        <v>47</v>
      </c>
      <c r="Q41" s="71" t="s">
        <v>68</v>
      </c>
      <c r="R41" s="71" t="s">
        <v>49</v>
      </c>
      <c r="S41" s="75">
        <v>105438</v>
      </c>
    </row>
    <row r="42" spans="1:19" x14ac:dyDescent="0.25">
      <c r="A42" s="9">
        <v>9706</v>
      </c>
      <c r="B42" s="2" t="s">
        <v>254</v>
      </c>
      <c r="C42" s="2" t="s">
        <v>255</v>
      </c>
      <c r="D42" s="2" t="s">
        <v>43</v>
      </c>
      <c r="E42" s="67">
        <v>2000000</v>
      </c>
      <c r="F42" s="60"/>
      <c r="M42" s="66" t="s">
        <v>26</v>
      </c>
      <c r="N42" s="70" t="s">
        <v>256</v>
      </c>
      <c r="O42" s="68" t="s">
        <v>257</v>
      </c>
      <c r="P42" s="71" t="s">
        <v>47</v>
      </c>
      <c r="Q42" s="71" t="s">
        <v>258</v>
      </c>
      <c r="R42" s="71" t="s">
        <v>49</v>
      </c>
      <c r="S42" s="75">
        <v>106000</v>
      </c>
    </row>
    <row r="43" spans="1:19" x14ac:dyDescent="0.25">
      <c r="A43" s="9">
        <v>9709</v>
      </c>
      <c r="B43" s="2" t="s">
        <v>259</v>
      </c>
      <c r="C43" s="2" t="s">
        <v>260</v>
      </c>
      <c r="D43" s="2" t="s">
        <v>43</v>
      </c>
      <c r="E43" s="73">
        <v>1800000</v>
      </c>
      <c r="F43" s="11"/>
      <c r="M43" s="66" t="s">
        <v>26</v>
      </c>
      <c r="N43" s="70" t="s">
        <v>261</v>
      </c>
      <c r="O43" s="68" t="s">
        <v>262</v>
      </c>
      <c r="P43" s="71" t="s">
        <v>47</v>
      </c>
      <c r="Q43" s="71" t="s">
        <v>68</v>
      </c>
      <c r="R43" s="71" t="s">
        <v>49</v>
      </c>
      <c r="S43" s="75">
        <v>105438</v>
      </c>
    </row>
    <row r="44" spans="1:19" x14ac:dyDescent="0.25">
      <c r="A44" s="9">
        <v>9710</v>
      </c>
      <c r="B44" s="2" t="s">
        <v>263</v>
      </c>
      <c r="C44" s="2" t="s">
        <v>264</v>
      </c>
      <c r="D44" s="2" t="s">
        <v>52</v>
      </c>
      <c r="E44" s="57">
        <v>2000000</v>
      </c>
      <c r="F44" s="69">
        <v>2000000</v>
      </c>
      <c r="M44" s="66" t="s">
        <v>26</v>
      </c>
      <c r="N44" s="70" t="s">
        <v>265</v>
      </c>
      <c r="O44" s="68" t="s">
        <v>266</v>
      </c>
      <c r="P44" s="71" t="s">
        <v>47</v>
      </c>
      <c r="Q44" s="71" t="s">
        <v>68</v>
      </c>
      <c r="R44" s="71" t="s">
        <v>49</v>
      </c>
      <c r="S44" s="75">
        <v>105438</v>
      </c>
    </row>
    <row r="45" spans="1:19" x14ac:dyDescent="0.25">
      <c r="A45" s="9">
        <v>9716</v>
      </c>
      <c r="B45" s="2" t="s">
        <v>267</v>
      </c>
      <c r="C45" s="2" t="s">
        <v>268</v>
      </c>
      <c r="D45" s="2" t="s">
        <v>43</v>
      </c>
      <c r="E45" s="67">
        <v>2000000</v>
      </c>
      <c r="F45" s="60"/>
      <c r="M45" s="66" t="s">
        <v>26</v>
      </c>
      <c r="N45" s="70" t="s">
        <v>269</v>
      </c>
      <c r="O45" s="68"/>
      <c r="P45" s="71" t="s">
        <v>47</v>
      </c>
      <c r="Q45" s="71" t="s">
        <v>48</v>
      </c>
      <c r="R45" s="71" t="s">
        <v>49</v>
      </c>
      <c r="S45" s="75">
        <v>105438</v>
      </c>
    </row>
    <row r="46" spans="1:19" x14ac:dyDescent="0.25">
      <c r="A46" s="9">
        <v>9719</v>
      </c>
      <c r="B46" s="2" t="s">
        <v>270</v>
      </c>
      <c r="C46" s="2" t="s">
        <v>271</v>
      </c>
      <c r="D46" s="2" t="s">
        <v>43</v>
      </c>
      <c r="E46" s="73">
        <v>2900000</v>
      </c>
      <c r="F46" s="11"/>
      <c r="M46" s="66" t="s">
        <v>26</v>
      </c>
      <c r="N46" s="70" t="s">
        <v>272</v>
      </c>
      <c r="O46" s="68" t="s">
        <v>273</v>
      </c>
      <c r="P46" s="71" t="s">
        <v>47</v>
      </c>
      <c r="Q46" s="71" t="s">
        <v>48</v>
      </c>
      <c r="R46" s="71" t="s">
        <v>49</v>
      </c>
      <c r="S46" s="75">
        <v>106000</v>
      </c>
    </row>
    <row r="47" spans="1:19" x14ac:dyDescent="0.25">
      <c r="A47" s="9">
        <v>9720</v>
      </c>
      <c r="B47" s="2" t="s">
        <v>274</v>
      </c>
      <c r="C47" s="2" t="s">
        <v>275</v>
      </c>
      <c r="D47" s="2" t="s">
        <v>43</v>
      </c>
      <c r="E47" s="73">
        <v>5600000</v>
      </c>
      <c r="F47" s="11"/>
      <c r="M47" s="66" t="s">
        <v>26</v>
      </c>
      <c r="N47" s="70" t="s">
        <v>276</v>
      </c>
      <c r="O47" s="68" t="s">
        <v>277</v>
      </c>
      <c r="P47" s="71" t="s">
        <v>47</v>
      </c>
      <c r="Q47" s="71" t="s">
        <v>48</v>
      </c>
      <c r="R47" s="71" t="s">
        <v>49</v>
      </c>
      <c r="S47" s="75">
        <v>105813</v>
      </c>
    </row>
    <row r="48" spans="1:19" x14ac:dyDescent="0.25">
      <c r="A48" s="9">
        <v>9722</v>
      </c>
      <c r="B48" s="2" t="s">
        <v>278</v>
      </c>
      <c r="C48" s="2" t="s">
        <v>279</v>
      </c>
      <c r="D48" s="2" t="s">
        <v>43</v>
      </c>
      <c r="E48" s="73">
        <v>2000000</v>
      </c>
      <c r="F48" s="11"/>
      <c r="M48" s="66" t="s">
        <v>26</v>
      </c>
      <c r="N48" s="70" t="s">
        <v>280</v>
      </c>
      <c r="O48" s="68" t="s">
        <v>281</v>
      </c>
      <c r="P48" s="71" t="s">
        <v>47</v>
      </c>
      <c r="Q48" s="71" t="s">
        <v>48</v>
      </c>
      <c r="R48" s="71" t="s">
        <v>49</v>
      </c>
      <c r="S48" s="75">
        <v>105438</v>
      </c>
    </row>
    <row r="49" spans="1:19" x14ac:dyDescent="0.25">
      <c r="A49" s="9">
        <v>9726</v>
      </c>
      <c r="B49" s="2" t="s">
        <v>282</v>
      </c>
      <c r="C49" s="2" t="s">
        <v>283</v>
      </c>
      <c r="D49" s="2" t="s">
        <v>43</v>
      </c>
      <c r="E49" s="73">
        <v>2500000</v>
      </c>
      <c r="F49" s="11"/>
      <c r="M49" s="66" t="s">
        <v>26</v>
      </c>
      <c r="N49" s="70" t="s">
        <v>284</v>
      </c>
      <c r="O49" s="68" t="s">
        <v>285</v>
      </c>
      <c r="P49" s="71" t="s">
        <v>47</v>
      </c>
      <c r="Q49" s="71" t="s">
        <v>286</v>
      </c>
      <c r="R49" s="71" t="s">
        <v>49</v>
      </c>
      <c r="S49" s="75">
        <v>100188</v>
      </c>
    </row>
    <row r="50" spans="1:19" x14ac:dyDescent="0.25">
      <c r="A50" s="9">
        <v>9727</v>
      </c>
      <c r="B50" s="2" t="s">
        <v>287</v>
      </c>
      <c r="C50" s="2" t="s">
        <v>288</v>
      </c>
      <c r="D50" s="2" t="s">
        <v>43</v>
      </c>
      <c r="E50" s="73">
        <v>2000000</v>
      </c>
      <c r="F50" s="11"/>
      <c r="M50" s="66" t="s">
        <v>26</v>
      </c>
      <c r="N50" s="70" t="s">
        <v>289</v>
      </c>
      <c r="O50" s="68" t="s">
        <v>290</v>
      </c>
      <c r="P50" s="71" t="s">
        <v>47</v>
      </c>
      <c r="Q50" s="71" t="s">
        <v>291</v>
      </c>
      <c r="R50" s="71" t="s">
        <v>49</v>
      </c>
      <c r="S50" s="75">
        <v>106188</v>
      </c>
    </row>
    <row r="51" spans="1:19" x14ac:dyDescent="0.25">
      <c r="A51" s="9">
        <v>9729</v>
      </c>
      <c r="B51" s="2" t="s">
        <v>292</v>
      </c>
      <c r="C51" s="2" t="s">
        <v>293</v>
      </c>
      <c r="D51" s="2" t="s">
        <v>43</v>
      </c>
      <c r="E51" s="73">
        <v>2500000</v>
      </c>
      <c r="F51" s="11"/>
      <c r="M51" s="66" t="s">
        <v>26</v>
      </c>
      <c r="N51" s="70" t="s">
        <v>294</v>
      </c>
      <c r="O51" s="68" t="s">
        <v>295</v>
      </c>
      <c r="P51" s="71" t="s">
        <v>47</v>
      </c>
      <c r="Q51" s="71" t="s">
        <v>48</v>
      </c>
      <c r="R51" s="71" t="s">
        <v>49</v>
      </c>
      <c r="S51" s="75">
        <v>103938</v>
      </c>
    </row>
    <row r="52" spans="1:19" x14ac:dyDescent="0.25">
      <c r="A52" s="9">
        <v>9730</v>
      </c>
      <c r="B52" s="2" t="s">
        <v>296</v>
      </c>
      <c r="C52" s="2" t="s">
        <v>297</v>
      </c>
      <c r="D52" s="2" t="s">
        <v>52</v>
      </c>
      <c r="E52" s="57">
        <v>2000000</v>
      </c>
      <c r="F52" s="69">
        <v>2000000</v>
      </c>
      <c r="M52" s="66" t="s">
        <v>26</v>
      </c>
      <c r="N52" s="70" t="s">
        <v>298</v>
      </c>
      <c r="O52" s="68" t="s">
        <v>299</v>
      </c>
      <c r="P52" s="71" t="s">
        <v>47</v>
      </c>
      <c r="Q52" s="71" t="s">
        <v>216</v>
      </c>
      <c r="R52" s="71" t="s">
        <v>49</v>
      </c>
      <c r="S52" s="75">
        <v>106750</v>
      </c>
    </row>
    <row r="53" spans="1:19" x14ac:dyDescent="0.25">
      <c r="A53" s="9">
        <v>9733</v>
      </c>
      <c r="B53" s="2" t="s">
        <v>300</v>
      </c>
      <c r="C53" s="2" t="s">
        <v>301</v>
      </c>
      <c r="D53" s="2" t="s">
        <v>43</v>
      </c>
      <c r="E53" s="67">
        <v>2030000</v>
      </c>
      <c r="F53" s="60"/>
      <c r="M53" s="66" t="s">
        <v>26</v>
      </c>
      <c r="N53" s="70" t="s">
        <v>302</v>
      </c>
      <c r="O53" s="68" t="s">
        <v>303</v>
      </c>
      <c r="P53" s="71" t="s">
        <v>47</v>
      </c>
      <c r="Q53" s="71" t="s">
        <v>48</v>
      </c>
      <c r="R53" s="71" t="s">
        <v>49</v>
      </c>
      <c r="S53" s="75">
        <v>105438</v>
      </c>
    </row>
    <row r="54" spans="1:19" x14ac:dyDescent="0.25">
      <c r="A54" s="9">
        <v>9734</v>
      </c>
      <c r="B54" s="2" t="s">
        <v>304</v>
      </c>
      <c r="C54" s="2" t="s">
        <v>305</v>
      </c>
      <c r="D54" s="2" t="s">
        <v>43</v>
      </c>
      <c r="E54" s="73">
        <v>3600000</v>
      </c>
      <c r="F54" s="11"/>
      <c r="M54" s="66" t="s">
        <v>26</v>
      </c>
      <c r="N54" s="70" t="s">
        <v>306</v>
      </c>
      <c r="O54" s="68" t="s">
        <v>307</v>
      </c>
      <c r="P54" s="71" t="s">
        <v>47</v>
      </c>
      <c r="Q54" s="71" t="s">
        <v>48</v>
      </c>
      <c r="R54" s="71" t="s">
        <v>49</v>
      </c>
      <c r="S54" s="75">
        <v>105813</v>
      </c>
    </row>
    <row r="55" spans="1:19" x14ac:dyDescent="0.25">
      <c r="A55" s="9">
        <v>9736</v>
      </c>
      <c r="B55" s="2" t="s">
        <v>308</v>
      </c>
      <c r="C55" s="2" t="s">
        <v>309</v>
      </c>
      <c r="D55" s="2" t="s">
        <v>43</v>
      </c>
      <c r="E55" s="73">
        <v>2500000</v>
      </c>
      <c r="F55" s="11"/>
      <c r="M55" s="66" t="s">
        <v>26</v>
      </c>
      <c r="N55" s="70" t="s">
        <v>310</v>
      </c>
      <c r="O55" s="68"/>
      <c r="P55" s="71" t="s">
        <v>47</v>
      </c>
      <c r="Q55" s="71" t="s">
        <v>48</v>
      </c>
      <c r="R55" s="71" t="s">
        <v>49</v>
      </c>
      <c r="S55" s="75">
        <v>100188</v>
      </c>
    </row>
    <row r="56" spans="1:19" x14ac:dyDescent="0.25">
      <c r="A56" s="9">
        <v>9738</v>
      </c>
      <c r="B56" s="2" t="s">
        <v>311</v>
      </c>
      <c r="C56" s="2" t="s">
        <v>312</v>
      </c>
      <c r="D56" s="2" t="s">
        <v>43</v>
      </c>
      <c r="E56" s="73">
        <v>1500000</v>
      </c>
      <c r="F56" s="11"/>
      <c r="M56" s="66" t="s">
        <v>26</v>
      </c>
      <c r="N56" s="70" t="s">
        <v>313</v>
      </c>
      <c r="O56" s="68"/>
      <c r="P56" s="71" t="s">
        <v>47</v>
      </c>
      <c r="Q56" s="71" t="s">
        <v>48</v>
      </c>
      <c r="R56" s="71" t="s">
        <v>49</v>
      </c>
      <c r="S56" s="75">
        <v>105813</v>
      </c>
    </row>
    <row r="57" spans="1:19" x14ac:dyDescent="0.25">
      <c r="A57" s="9">
        <v>9740</v>
      </c>
      <c r="B57" s="2" t="s">
        <v>314</v>
      </c>
      <c r="C57" s="2" t="s">
        <v>315</v>
      </c>
      <c r="D57" s="2" t="s">
        <v>52</v>
      </c>
      <c r="E57" s="57">
        <v>2000000</v>
      </c>
      <c r="F57" s="69">
        <v>2000000</v>
      </c>
      <c r="M57" s="66" t="s">
        <v>26</v>
      </c>
      <c r="N57" s="70" t="s">
        <v>316</v>
      </c>
      <c r="O57" s="68" t="s">
        <v>317</v>
      </c>
      <c r="P57" s="71" t="s">
        <v>47</v>
      </c>
      <c r="Q57" s="71" t="s">
        <v>48</v>
      </c>
      <c r="R57" s="71" t="s">
        <v>49</v>
      </c>
      <c r="S57" s="75">
        <v>104125</v>
      </c>
    </row>
    <row r="58" spans="1:19" x14ac:dyDescent="0.25">
      <c r="A58" s="9">
        <v>9741</v>
      </c>
      <c r="B58" s="2" t="s">
        <v>318</v>
      </c>
      <c r="C58" s="2" t="s">
        <v>319</v>
      </c>
      <c r="D58" s="2" t="s">
        <v>43</v>
      </c>
      <c r="E58" s="67">
        <v>1600000</v>
      </c>
      <c r="F58" s="60"/>
      <c r="M58" s="66" t="s">
        <v>26</v>
      </c>
      <c r="N58" s="70" t="s">
        <v>320</v>
      </c>
      <c r="O58" s="68" t="s">
        <v>321</v>
      </c>
      <c r="P58" s="71" t="s">
        <v>47</v>
      </c>
      <c r="Q58" s="71" t="s">
        <v>48</v>
      </c>
      <c r="R58" s="71" t="s">
        <v>49</v>
      </c>
      <c r="S58" s="75">
        <v>104688</v>
      </c>
    </row>
    <row r="59" spans="1:19" x14ac:dyDescent="0.25">
      <c r="A59" s="9">
        <v>9747</v>
      </c>
      <c r="B59" s="2" t="s">
        <v>322</v>
      </c>
      <c r="C59" s="2" t="s">
        <v>58</v>
      </c>
      <c r="D59" s="2" t="s">
        <v>52</v>
      </c>
      <c r="E59" s="57">
        <v>1000000</v>
      </c>
      <c r="F59" s="69">
        <v>1000000</v>
      </c>
      <c r="M59" s="66" t="s">
        <v>26</v>
      </c>
      <c r="N59" s="70" t="s">
        <v>323</v>
      </c>
      <c r="O59" s="68" t="s">
        <v>324</v>
      </c>
      <c r="P59" s="71" t="s">
        <v>47</v>
      </c>
      <c r="Q59" s="71" t="s">
        <v>164</v>
      </c>
      <c r="R59" s="71" t="s">
        <v>49</v>
      </c>
      <c r="S59" s="75">
        <v>102063</v>
      </c>
    </row>
    <row r="60" spans="1:19" x14ac:dyDescent="0.25">
      <c r="A60" s="9">
        <v>12103</v>
      </c>
      <c r="B60" s="2" t="s">
        <v>325</v>
      </c>
      <c r="C60" s="2" t="s">
        <v>326</v>
      </c>
      <c r="D60" s="2" t="s">
        <v>52</v>
      </c>
      <c r="E60" s="3">
        <v>1000000</v>
      </c>
      <c r="F60" s="72">
        <v>1000000</v>
      </c>
      <c r="M60" s="66" t="s">
        <v>26</v>
      </c>
      <c r="N60" s="70" t="s">
        <v>327</v>
      </c>
      <c r="O60" s="68" t="s">
        <v>328</v>
      </c>
      <c r="P60" s="71" t="s">
        <v>47</v>
      </c>
      <c r="Q60" s="71" t="s">
        <v>144</v>
      </c>
      <c r="R60" s="71" t="s">
        <v>49</v>
      </c>
      <c r="S60" s="75">
        <v>103000</v>
      </c>
    </row>
    <row r="61" spans="1:19" x14ac:dyDescent="0.25">
      <c r="A61" s="9">
        <v>25173</v>
      </c>
      <c r="B61" s="2" t="s">
        <v>329</v>
      </c>
      <c r="C61" s="2" t="s">
        <v>330</v>
      </c>
      <c r="D61" s="2" t="s">
        <v>43</v>
      </c>
      <c r="E61" s="67">
        <v>2500000</v>
      </c>
      <c r="F61" s="60"/>
      <c r="M61" s="66" t="s">
        <v>26</v>
      </c>
      <c r="N61" s="70" t="s">
        <v>331</v>
      </c>
      <c r="O61" s="68" t="s">
        <v>332</v>
      </c>
      <c r="P61" s="71" t="s">
        <v>47</v>
      </c>
      <c r="Q61" s="71" t="s">
        <v>95</v>
      </c>
      <c r="R61" s="71" t="s">
        <v>49</v>
      </c>
      <c r="S61" s="75">
        <v>106563</v>
      </c>
    </row>
    <row r="62" spans="1:19" x14ac:dyDescent="0.25">
      <c r="A62" s="14" t="s">
        <v>23</v>
      </c>
      <c r="B62" s="55" t="s">
        <v>333</v>
      </c>
      <c r="C62" s="55"/>
      <c r="D62" s="2" t="s">
        <v>334</v>
      </c>
      <c r="E62" s="57" t="s">
        <v>335</v>
      </c>
      <c r="F62" s="15"/>
      <c r="M62" s="66" t="s">
        <v>26</v>
      </c>
      <c r="N62" s="70" t="s">
        <v>336</v>
      </c>
      <c r="O62" s="68" t="s">
        <v>337</v>
      </c>
      <c r="P62" s="71" t="s">
        <v>47</v>
      </c>
      <c r="Q62" s="71" t="s">
        <v>338</v>
      </c>
      <c r="R62" s="71" t="s">
        <v>49</v>
      </c>
      <c r="S62" s="75">
        <v>108625</v>
      </c>
    </row>
    <row r="63" spans="1:19" x14ac:dyDescent="0.25">
      <c r="A63" s="1"/>
      <c r="B63" s="2"/>
      <c r="C63" s="2"/>
      <c r="D63" s="2"/>
      <c r="E63" s="3"/>
      <c r="F63" s="4"/>
      <c r="M63" s="66" t="s">
        <v>26</v>
      </c>
      <c r="N63" s="70" t="s">
        <v>339</v>
      </c>
      <c r="O63" s="68" t="s">
        <v>340</v>
      </c>
      <c r="P63" s="71" t="s">
        <v>47</v>
      </c>
      <c r="Q63" s="71" t="s">
        <v>286</v>
      </c>
      <c r="R63" s="71" t="s">
        <v>49</v>
      </c>
      <c r="S63" s="75">
        <v>100938</v>
      </c>
    </row>
    <row r="64" spans="1:19" x14ac:dyDescent="0.25">
      <c r="A64" s="6" t="s">
        <v>19</v>
      </c>
      <c r="B64" s="7"/>
      <c r="C64" s="7"/>
      <c r="D64" s="7"/>
      <c r="E64" s="8">
        <v>147900000</v>
      </c>
      <c r="F64" s="8">
        <v>12600000</v>
      </c>
      <c r="M64" s="66" t="s">
        <v>26</v>
      </c>
      <c r="N64" s="70" t="s">
        <v>341</v>
      </c>
      <c r="O64" s="68" t="s">
        <v>342</v>
      </c>
      <c r="P64" s="71" t="s">
        <v>47</v>
      </c>
      <c r="Q64" s="71" t="s">
        <v>68</v>
      </c>
      <c r="R64" s="71" t="s">
        <v>49</v>
      </c>
      <c r="S64" s="75">
        <v>106188</v>
      </c>
    </row>
    <row r="65" spans="1:19" x14ac:dyDescent="0.25">
      <c r="M65" s="66" t="s">
        <v>26</v>
      </c>
      <c r="N65" s="70" t="s">
        <v>343</v>
      </c>
      <c r="O65" s="68"/>
      <c r="P65" s="71" t="s">
        <v>47</v>
      </c>
      <c r="Q65" s="71" t="s">
        <v>48</v>
      </c>
      <c r="R65" s="71" t="s">
        <v>49</v>
      </c>
      <c r="S65" s="75">
        <v>106000</v>
      </c>
    </row>
    <row r="66" spans="1:19" x14ac:dyDescent="0.25">
      <c r="M66" s="66" t="s">
        <v>26</v>
      </c>
      <c r="N66" s="70" t="s">
        <v>344</v>
      </c>
      <c r="O66" s="68" t="s">
        <v>345</v>
      </c>
      <c r="P66" s="71" t="s">
        <v>47</v>
      </c>
      <c r="Q66" s="71" t="s">
        <v>346</v>
      </c>
      <c r="R66" s="71" t="s">
        <v>49</v>
      </c>
      <c r="S66" s="75">
        <v>112750</v>
      </c>
    </row>
    <row r="67" spans="1:19" x14ac:dyDescent="0.25">
      <c r="M67" s="66" t="s">
        <v>26</v>
      </c>
      <c r="N67" s="70" t="s">
        <v>347</v>
      </c>
      <c r="O67" s="68" t="s">
        <v>348</v>
      </c>
      <c r="P67" s="71" t="s">
        <v>47</v>
      </c>
      <c r="Q67" s="71" t="s">
        <v>349</v>
      </c>
      <c r="R67" s="71" t="s">
        <v>49</v>
      </c>
      <c r="S67" s="75">
        <v>105438</v>
      </c>
    </row>
    <row r="68" spans="1:19" x14ac:dyDescent="0.25">
      <c r="A68" s="45" t="s">
        <v>3</v>
      </c>
      <c r="B68" s="76" t="s">
        <v>350</v>
      </c>
      <c r="C68" s="76"/>
      <c r="D68" s="76" t="s">
        <v>351</v>
      </c>
      <c r="M68" s="66" t="s">
        <v>26</v>
      </c>
      <c r="N68" s="70" t="s">
        <v>352</v>
      </c>
      <c r="O68" s="68" t="s">
        <v>353</v>
      </c>
      <c r="P68" s="71" t="s">
        <v>47</v>
      </c>
      <c r="Q68" s="71" t="s">
        <v>354</v>
      </c>
      <c r="R68" s="71" t="s">
        <v>49</v>
      </c>
      <c r="S68" s="75">
        <v>99063</v>
      </c>
    </row>
    <row r="69" spans="1:19" x14ac:dyDescent="0.25">
      <c r="A69" s="46">
        <v>9693</v>
      </c>
      <c r="B69" s="50" t="s">
        <v>355</v>
      </c>
      <c r="C69" s="50"/>
      <c r="D69" s="50" t="s">
        <v>218</v>
      </c>
      <c r="M69" s="66" t="s">
        <v>26</v>
      </c>
      <c r="N69" s="70" t="s">
        <v>356</v>
      </c>
      <c r="O69" s="68" t="s">
        <v>357</v>
      </c>
      <c r="P69" s="71" t="s">
        <v>47</v>
      </c>
      <c r="Q69" s="71" t="s">
        <v>349</v>
      </c>
      <c r="R69" s="71" t="s">
        <v>49</v>
      </c>
      <c r="S69" s="75">
        <v>105438</v>
      </c>
    </row>
    <row r="70" spans="1:19" x14ac:dyDescent="0.25">
      <c r="A70" s="47">
        <v>9699</v>
      </c>
      <c r="B70" s="51" t="s">
        <v>358</v>
      </c>
      <c r="C70" s="51"/>
      <c r="D70" s="51" t="s">
        <v>231</v>
      </c>
      <c r="M70" s="66" t="s">
        <v>26</v>
      </c>
      <c r="N70" s="70" t="s">
        <v>359</v>
      </c>
      <c r="O70" s="68" t="s">
        <v>360</v>
      </c>
      <c r="P70" s="71" t="s">
        <v>47</v>
      </c>
      <c r="Q70" s="71" t="s">
        <v>48</v>
      </c>
      <c r="R70" s="71" t="s">
        <v>49</v>
      </c>
      <c r="S70" s="75">
        <v>104125</v>
      </c>
    </row>
    <row r="71" spans="1:19" x14ac:dyDescent="0.25">
      <c r="A71" s="46">
        <v>9700</v>
      </c>
      <c r="B71" s="53" t="s">
        <v>361</v>
      </c>
      <c r="C71" s="53"/>
      <c r="D71" s="53" t="s">
        <v>235</v>
      </c>
      <c r="M71" s="66" t="s">
        <v>26</v>
      </c>
      <c r="N71" s="70" t="s">
        <v>362</v>
      </c>
      <c r="O71" s="68" t="s">
        <v>363</v>
      </c>
      <c r="P71" s="71" t="s">
        <v>47</v>
      </c>
      <c r="Q71" s="71" t="s">
        <v>81</v>
      </c>
      <c r="R71" s="71" t="s">
        <v>49</v>
      </c>
      <c r="S71" s="75">
        <v>104688</v>
      </c>
    </row>
    <row r="72" spans="1:19" x14ac:dyDescent="0.25">
      <c r="A72" s="47">
        <v>9701</v>
      </c>
      <c r="B72" s="51" t="s">
        <v>364</v>
      </c>
      <c r="C72" s="51"/>
      <c r="D72" s="51" t="s">
        <v>239</v>
      </c>
      <c r="M72" s="66" t="s">
        <v>26</v>
      </c>
      <c r="N72" s="70" t="s">
        <v>365</v>
      </c>
      <c r="O72" s="63" t="s">
        <v>366</v>
      </c>
      <c r="P72" s="71" t="s">
        <v>47</v>
      </c>
      <c r="Q72" s="71" t="s">
        <v>150</v>
      </c>
      <c r="R72" s="71" t="s">
        <v>49</v>
      </c>
      <c r="S72" s="75">
        <v>100938</v>
      </c>
    </row>
    <row r="73" spans="1:19" x14ac:dyDescent="0.25">
      <c r="A73" s="46">
        <v>9703</v>
      </c>
      <c r="B73" s="53" t="s">
        <v>367</v>
      </c>
      <c r="C73" s="53"/>
      <c r="D73" s="53" t="s">
        <v>243</v>
      </c>
      <c r="M73" s="66" t="s">
        <v>26</v>
      </c>
      <c r="N73" s="70" t="s">
        <v>368</v>
      </c>
      <c r="O73" s="63" t="s">
        <v>369</v>
      </c>
      <c r="P73" s="71" t="s">
        <v>47</v>
      </c>
      <c r="Q73" s="71" t="s">
        <v>68</v>
      </c>
      <c r="R73" s="71" t="s">
        <v>49</v>
      </c>
      <c r="S73" s="75">
        <v>105250</v>
      </c>
    </row>
    <row r="74" spans="1:19" x14ac:dyDescent="0.25">
      <c r="A74" s="47">
        <v>9706</v>
      </c>
      <c r="B74" s="51" t="s">
        <v>370</v>
      </c>
      <c r="C74" s="51"/>
      <c r="D74" s="51" t="s">
        <v>255</v>
      </c>
      <c r="M74" s="66" t="s">
        <v>26</v>
      </c>
      <c r="N74" s="70" t="s">
        <v>371</v>
      </c>
      <c r="O74" t="s">
        <v>372</v>
      </c>
      <c r="P74" s="71" t="s">
        <v>47</v>
      </c>
      <c r="Q74" s="71" t="s">
        <v>74</v>
      </c>
      <c r="R74" s="71" t="s">
        <v>49</v>
      </c>
      <c r="S74" s="75">
        <v>109750</v>
      </c>
    </row>
    <row r="75" spans="1:19" x14ac:dyDescent="0.25">
      <c r="A75" s="46">
        <v>9722</v>
      </c>
      <c r="B75" s="53" t="s">
        <v>373</v>
      </c>
      <c r="C75" s="53"/>
      <c r="D75" s="53" t="s">
        <v>279</v>
      </c>
      <c r="M75" s="66" t="s">
        <v>26</v>
      </c>
      <c r="N75" s="70" t="s">
        <v>374</v>
      </c>
      <c r="O75" t="s">
        <v>375</v>
      </c>
      <c r="P75" s="71" t="s">
        <v>47</v>
      </c>
      <c r="Q75" s="71" t="s">
        <v>376</v>
      </c>
      <c r="R75" s="71" t="s">
        <v>49</v>
      </c>
      <c r="S75" s="75">
        <v>105438</v>
      </c>
    </row>
    <row r="76" spans="1:19" x14ac:dyDescent="0.25">
      <c r="A76" s="47">
        <v>9730</v>
      </c>
      <c r="B76" s="51" t="s">
        <v>377</v>
      </c>
      <c r="C76" s="51"/>
      <c r="D76" s="51" t="s">
        <v>297</v>
      </c>
      <c r="M76" s="66" t="s">
        <v>26</v>
      </c>
      <c r="N76" s="70" t="s">
        <v>378</v>
      </c>
      <c r="O76" s="68" t="s">
        <v>379</v>
      </c>
      <c r="P76" s="71" t="s">
        <v>47</v>
      </c>
      <c r="Q76" s="71" t="s">
        <v>138</v>
      </c>
      <c r="R76" s="71" t="s">
        <v>49</v>
      </c>
      <c r="S76" s="75">
        <v>100563</v>
      </c>
    </row>
    <row r="77" spans="1:19" x14ac:dyDescent="0.25">
      <c r="A77" s="46">
        <v>9690</v>
      </c>
      <c r="B77" s="50" t="s">
        <v>380</v>
      </c>
      <c r="C77" s="50"/>
      <c r="D77" s="50" t="s">
        <v>213</v>
      </c>
      <c r="M77" s="66" t="s">
        <v>26</v>
      </c>
      <c r="N77" s="70" t="s">
        <v>381</v>
      </c>
      <c r="O77" s="68"/>
      <c r="P77" s="71" t="s">
        <v>47</v>
      </c>
      <c r="Q77" s="71" t="s">
        <v>382</v>
      </c>
      <c r="R77" s="71" t="s">
        <v>49</v>
      </c>
      <c r="S77" s="75">
        <v>100188</v>
      </c>
    </row>
    <row r="78" spans="1:19" x14ac:dyDescent="0.25">
      <c r="A78" s="47">
        <v>9697</v>
      </c>
      <c r="B78" s="50" t="s">
        <v>383</v>
      </c>
      <c r="C78" s="50"/>
      <c r="D78" s="50" t="s">
        <v>226</v>
      </c>
      <c r="M78" s="66" t="s">
        <v>26</v>
      </c>
      <c r="N78" s="70" t="s">
        <v>384</v>
      </c>
      <c r="O78" s="68"/>
      <c r="P78" s="71" t="s">
        <v>47</v>
      </c>
      <c r="Q78" s="71" t="s">
        <v>101</v>
      </c>
      <c r="R78" s="71" t="s">
        <v>49</v>
      </c>
      <c r="S78" s="75">
        <v>100188</v>
      </c>
    </row>
    <row r="79" spans="1:19" x14ac:dyDescent="0.25">
      <c r="A79" s="46">
        <v>9705</v>
      </c>
      <c r="B79" s="53" t="s">
        <v>385</v>
      </c>
      <c r="C79" s="53"/>
      <c r="D79" s="53" t="s">
        <v>251</v>
      </c>
      <c r="M79" s="66" t="s">
        <v>26</v>
      </c>
      <c r="N79" s="70" t="s">
        <v>386</v>
      </c>
      <c r="O79" s="68"/>
      <c r="P79" s="71" t="s">
        <v>47</v>
      </c>
      <c r="Q79" s="71" t="s">
        <v>48</v>
      </c>
      <c r="R79" s="71" t="s">
        <v>49</v>
      </c>
      <c r="S79" s="75">
        <v>104688</v>
      </c>
    </row>
    <row r="80" spans="1:19" x14ac:dyDescent="0.25">
      <c r="A80" s="47">
        <v>9709</v>
      </c>
      <c r="B80" s="51" t="s">
        <v>387</v>
      </c>
      <c r="C80" s="51"/>
      <c r="D80" s="51" t="s">
        <v>260</v>
      </c>
      <c r="M80" s="66" t="s">
        <v>26</v>
      </c>
      <c r="N80" s="70" t="s">
        <v>388</v>
      </c>
      <c r="O80" s="68"/>
      <c r="P80" s="71" t="s">
        <v>47</v>
      </c>
      <c r="Q80" s="71" t="s">
        <v>48</v>
      </c>
      <c r="R80" s="71" t="s">
        <v>49</v>
      </c>
      <c r="S80" s="75">
        <v>103000</v>
      </c>
    </row>
    <row r="81" spans="1:19" x14ac:dyDescent="0.25">
      <c r="A81" s="46">
        <v>9710</v>
      </c>
      <c r="B81" s="53" t="s">
        <v>389</v>
      </c>
      <c r="C81" s="53"/>
      <c r="D81" s="53" t="s">
        <v>264</v>
      </c>
      <c r="M81" s="66" t="s">
        <v>26</v>
      </c>
      <c r="N81" s="70" t="s">
        <v>390</v>
      </c>
      <c r="O81" s="68"/>
      <c r="P81" s="71" t="s">
        <v>47</v>
      </c>
      <c r="Q81" s="71" t="s">
        <v>48</v>
      </c>
      <c r="R81" s="71" t="s">
        <v>49</v>
      </c>
      <c r="S81" s="75">
        <v>103563</v>
      </c>
    </row>
    <row r="82" spans="1:19" x14ac:dyDescent="0.25">
      <c r="A82" s="47">
        <v>9716</v>
      </c>
      <c r="B82" s="51" t="s">
        <v>391</v>
      </c>
      <c r="C82" s="51"/>
      <c r="D82" s="51" t="s">
        <v>268</v>
      </c>
      <c r="M82" s="66" t="s">
        <v>26</v>
      </c>
      <c r="N82" s="70" t="s">
        <v>392</v>
      </c>
      <c r="O82" s="68"/>
      <c r="P82" s="71" t="s">
        <v>47</v>
      </c>
      <c r="Q82" s="71" t="s">
        <v>48</v>
      </c>
      <c r="R82" s="71" t="s">
        <v>49</v>
      </c>
      <c r="S82" s="75">
        <v>103750</v>
      </c>
    </row>
    <row r="83" spans="1:19" x14ac:dyDescent="0.25">
      <c r="A83" s="46">
        <v>9719</v>
      </c>
      <c r="B83" s="53" t="s">
        <v>393</v>
      </c>
      <c r="C83" s="53"/>
      <c r="D83" s="53" t="s">
        <v>271</v>
      </c>
      <c r="M83" s="66" t="s">
        <v>26</v>
      </c>
      <c r="N83" s="70" t="s">
        <v>394</v>
      </c>
      <c r="O83" s="68"/>
      <c r="P83" s="71" t="s">
        <v>47</v>
      </c>
      <c r="Q83" s="71" t="s">
        <v>291</v>
      </c>
      <c r="R83" s="71" t="s">
        <v>49</v>
      </c>
      <c r="S83" s="75">
        <v>106938</v>
      </c>
    </row>
    <row r="84" spans="1:19" x14ac:dyDescent="0.25">
      <c r="A84" s="47">
        <v>9720</v>
      </c>
      <c r="B84" s="51" t="s">
        <v>395</v>
      </c>
      <c r="C84" s="51"/>
      <c r="D84" s="51" t="s">
        <v>275</v>
      </c>
      <c r="M84" s="66" t="s">
        <v>26</v>
      </c>
      <c r="N84" s="70" t="s">
        <v>396</v>
      </c>
      <c r="O84" s="68"/>
      <c r="P84" s="71" t="s">
        <v>47</v>
      </c>
      <c r="Q84" s="71" t="s">
        <v>48</v>
      </c>
      <c r="R84" s="71" t="s">
        <v>49</v>
      </c>
      <c r="S84" s="75">
        <v>104875</v>
      </c>
    </row>
    <row r="85" spans="1:19" x14ac:dyDescent="0.25">
      <c r="A85" s="46">
        <v>9726</v>
      </c>
      <c r="B85" s="50" t="s">
        <v>397</v>
      </c>
      <c r="C85" s="50"/>
      <c r="D85" s="50" t="s">
        <v>283</v>
      </c>
      <c r="M85" s="66" t="s">
        <v>26</v>
      </c>
      <c r="N85" s="70" t="s">
        <v>398</v>
      </c>
      <c r="O85" s="68"/>
      <c r="P85" s="71" t="s">
        <v>47</v>
      </c>
      <c r="Q85" s="71" t="s">
        <v>376</v>
      </c>
      <c r="R85" s="71" t="s">
        <v>49</v>
      </c>
      <c r="S85" s="75">
        <v>104688</v>
      </c>
    </row>
    <row r="86" spans="1:19" x14ac:dyDescent="0.25">
      <c r="A86" s="47">
        <v>9733</v>
      </c>
      <c r="B86" s="51" t="s">
        <v>399</v>
      </c>
      <c r="C86" s="51"/>
      <c r="D86" s="51" t="s">
        <v>301</v>
      </c>
      <c r="M86" s="66" t="s">
        <v>26</v>
      </c>
      <c r="N86" s="70" t="s">
        <v>400</v>
      </c>
      <c r="O86" s="68"/>
      <c r="P86" s="71" t="s">
        <v>47</v>
      </c>
      <c r="Q86" s="71" t="s">
        <v>197</v>
      </c>
      <c r="R86" s="71" t="s">
        <v>49</v>
      </c>
      <c r="S86" s="75">
        <v>103750</v>
      </c>
    </row>
    <row r="87" spans="1:19" x14ac:dyDescent="0.25">
      <c r="A87" s="46">
        <v>9734</v>
      </c>
      <c r="B87" s="53" t="s">
        <v>401</v>
      </c>
      <c r="C87" s="53"/>
      <c r="D87" s="53" t="s">
        <v>305</v>
      </c>
      <c r="M87" s="66" t="s">
        <v>26</v>
      </c>
      <c r="N87" s="70" t="s">
        <v>402</v>
      </c>
      <c r="O87" s="68"/>
      <c r="P87" s="71" t="s">
        <v>47</v>
      </c>
      <c r="Q87" s="71" t="s">
        <v>202</v>
      </c>
      <c r="R87" s="71" t="s">
        <v>49</v>
      </c>
      <c r="S87" s="75">
        <v>109313</v>
      </c>
    </row>
    <row r="88" spans="1:19" x14ac:dyDescent="0.25">
      <c r="A88" s="47">
        <v>9736</v>
      </c>
      <c r="B88" s="51" t="s">
        <v>403</v>
      </c>
      <c r="C88" s="51"/>
      <c r="D88" s="51" t="s">
        <v>309</v>
      </c>
      <c r="M88" s="66" t="s">
        <v>26</v>
      </c>
      <c r="N88" s="70" t="s">
        <v>404</v>
      </c>
      <c r="O88" s="68"/>
      <c r="P88" s="71" t="s">
        <v>405</v>
      </c>
      <c r="Q88" s="71" t="s">
        <v>406</v>
      </c>
      <c r="R88" s="71" t="s">
        <v>49</v>
      </c>
      <c r="S88" s="75">
        <v>129000</v>
      </c>
    </row>
    <row r="89" spans="1:19" x14ac:dyDescent="0.25">
      <c r="A89" s="46">
        <v>9740</v>
      </c>
      <c r="B89" s="53" t="s">
        <v>407</v>
      </c>
      <c r="C89" s="53"/>
      <c r="D89" s="53" t="s">
        <v>315</v>
      </c>
      <c r="M89" s="66" t="s">
        <v>26</v>
      </c>
      <c r="N89" s="70" t="s">
        <v>408</v>
      </c>
      <c r="O89" s="68"/>
      <c r="P89" s="71" t="s">
        <v>405</v>
      </c>
      <c r="Q89" s="71" t="s">
        <v>409</v>
      </c>
      <c r="R89" s="71" t="s">
        <v>49</v>
      </c>
      <c r="S89" s="75">
        <v>155625</v>
      </c>
    </row>
    <row r="90" spans="1:19" x14ac:dyDescent="0.25">
      <c r="A90" s="47">
        <v>9741</v>
      </c>
      <c r="B90" s="51" t="s">
        <v>410</v>
      </c>
      <c r="C90" s="51"/>
      <c r="D90" s="51" t="s">
        <v>319</v>
      </c>
      <c r="M90" s="66" t="s">
        <v>26</v>
      </c>
      <c r="N90" s="70" t="s">
        <v>411</v>
      </c>
      <c r="O90" s="68"/>
      <c r="P90" s="71" t="s">
        <v>405</v>
      </c>
      <c r="Q90" s="71" t="s">
        <v>48</v>
      </c>
      <c r="R90" s="71" t="s">
        <v>49</v>
      </c>
      <c r="S90" s="75">
        <v>126563</v>
      </c>
    </row>
    <row r="91" spans="1:19" x14ac:dyDescent="0.25">
      <c r="A91" s="46">
        <v>12103</v>
      </c>
      <c r="B91" s="53" t="s">
        <v>412</v>
      </c>
      <c r="C91" s="53"/>
      <c r="D91" s="53" t="s">
        <v>326</v>
      </c>
      <c r="M91" s="66" t="s">
        <v>26</v>
      </c>
      <c r="N91" s="70" t="s">
        <v>413</v>
      </c>
      <c r="O91" s="68"/>
      <c r="P91" s="71" t="s">
        <v>405</v>
      </c>
      <c r="Q91" s="71" t="s">
        <v>48</v>
      </c>
      <c r="R91" s="71" t="s">
        <v>49</v>
      </c>
      <c r="S91" s="75">
        <v>126563</v>
      </c>
    </row>
    <row r="92" spans="1:19" x14ac:dyDescent="0.25">
      <c r="A92" s="46">
        <v>9410</v>
      </c>
      <c r="B92" s="53" t="s">
        <v>414</v>
      </c>
      <c r="C92" s="53"/>
      <c r="D92" s="53" t="s">
        <v>58</v>
      </c>
      <c r="M92" s="66" t="s">
        <v>26</v>
      </c>
      <c r="N92" s="70" t="s">
        <v>415</v>
      </c>
      <c r="O92" s="68"/>
      <c r="P92" s="71" t="s">
        <v>405</v>
      </c>
      <c r="Q92" s="71" t="s">
        <v>216</v>
      </c>
      <c r="R92" s="71" t="s">
        <v>49</v>
      </c>
      <c r="S92" s="75">
        <v>129750</v>
      </c>
    </row>
    <row r="93" spans="1:19" x14ac:dyDescent="0.25">
      <c r="A93" s="47">
        <v>9416</v>
      </c>
      <c r="B93" s="51" t="s">
        <v>416</v>
      </c>
      <c r="C93" s="51"/>
      <c r="D93" s="51" t="s">
        <v>76</v>
      </c>
      <c r="M93" s="66" t="s">
        <v>26</v>
      </c>
      <c r="N93" s="70" t="s">
        <v>417</v>
      </c>
      <c r="O93" s="68"/>
      <c r="P93" s="71" t="s">
        <v>405</v>
      </c>
      <c r="Q93" s="71" t="s">
        <v>418</v>
      </c>
      <c r="R93" s="71" t="s">
        <v>49</v>
      </c>
      <c r="S93" s="75">
        <v>129375</v>
      </c>
    </row>
    <row r="94" spans="1:19" x14ac:dyDescent="0.25">
      <c r="A94" s="46">
        <v>9418</v>
      </c>
      <c r="B94" s="53" t="s">
        <v>419</v>
      </c>
      <c r="C94" s="53"/>
      <c r="D94" s="53" t="s">
        <v>83</v>
      </c>
      <c r="M94" s="66" t="s">
        <v>26</v>
      </c>
      <c r="N94" s="70" t="s">
        <v>420</v>
      </c>
      <c r="O94" s="68"/>
      <c r="P94" s="71" t="s">
        <v>405</v>
      </c>
      <c r="Q94" s="71" t="s">
        <v>338</v>
      </c>
      <c r="R94" s="71" t="s">
        <v>49</v>
      </c>
      <c r="S94" s="75">
        <v>132188</v>
      </c>
    </row>
    <row r="95" spans="1:19" x14ac:dyDescent="0.25">
      <c r="A95" s="47">
        <v>9419</v>
      </c>
      <c r="B95" s="50" t="s">
        <v>421</v>
      </c>
      <c r="C95" s="50"/>
      <c r="D95" s="50" t="s">
        <v>90</v>
      </c>
      <c r="M95" s="66" t="s">
        <v>26</v>
      </c>
      <c r="N95" s="70" t="s">
        <v>422</v>
      </c>
      <c r="O95" s="68"/>
      <c r="P95" s="71" t="s">
        <v>405</v>
      </c>
      <c r="Q95" s="71" t="s">
        <v>216</v>
      </c>
      <c r="R95" s="71" t="s">
        <v>49</v>
      </c>
      <c r="S95" s="75">
        <v>128813</v>
      </c>
    </row>
    <row r="96" spans="1:19" x14ac:dyDescent="0.25">
      <c r="A96" s="46">
        <v>9422</v>
      </c>
      <c r="B96" s="53" t="s">
        <v>423</v>
      </c>
      <c r="C96" s="53"/>
      <c r="D96" s="53" t="s">
        <v>97</v>
      </c>
      <c r="M96" s="66" t="s">
        <v>26</v>
      </c>
      <c r="N96" s="70" t="s">
        <v>424</v>
      </c>
      <c r="O96" s="68"/>
      <c r="P96" s="71" t="s">
        <v>405</v>
      </c>
      <c r="Q96" s="71" t="s">
        <v>425</v>
      </c>
      <c r="R96" s="71" t="s">
        <v>49</v>
      </c>
      <c r="S96" s="75">
        <v>134813</v>
      </c>
    </row>
    <row r="97" spans="1:19" x14ac:dyDescent="0.25">
      <c r="A97" s="47">
        <v>9428</v>
      </c>
      <c r="B97" s="51" t="s">
        <v>426</v>
      </c>
      <c r="C97" s="51"/>
      <c r="D97" s="51" t="s">
        <v>109</v>
      </c>
      <c r="M97" s="66" t="s">
        <v>26</v>
      </c>
      <c r="N97" s="70" t="s">
        <v>427</v>
      </c>
      <c r="O97" s="68"/>
      <c r="P97" s="71" t="s">
        <v>405</v>
      </c>
      <c r="Q97" s="71" t="s">
        <v>428</v>
      </c>
      <c r="R97" s="71" t="s">
        <v>49</v>
      </c>
      <c r="S97" s="75">
        <v>127125</v>
      </c>
    </row>
    <row r="98" spans="1:19" x14ac:dyDescent="0.25">
      <c r="A98" s="46">
        <v>9446</v>
      </c>
      <c r="B98" s="53" t="s">
        <v>429</v>
      </c>
      <c r="C98" s="53"/>
      <c r="D98" s="53" t="s">
        <v>134</v>
      </c>
      <c r="M98" s="66" t="s">
        <v>26</v>
      </c>
      <c r="N98" s="70" t="s">
        <v>430</v>
      </c>
      <c r="O98" s="68"/>
      <c r="P98" s="71" t="s">
        <v>405</v>
      </c>
      <c r="Q98" s="71" t="s">
        <v>431</v>
      </c>
      <c r="R98" s="71" t="s">
        <v>49</v>
      </c>
      <c r="S98" s="75">
        <v>137625</v>
      </c>
    </row>
    <row r="99" spans="1:19" x14ac:dyDescent="0.25">
      <c r="A99" s="47">
        <v>9458</v>
      </c>
      <c r="B99" s="51" t="s">
        <v>432</v>
      </c>
      <c r="C99" s="51"/>
      <c r="D99" s="51" t="s">
        <v>140</v>
      </c>
      <c r="M99" s="66" t="s">
        <v>26</v>
      </c>
      <c r="N99" s="70" t="s">
        <v>433</v>
      </c>
      <c r="O99" s="68"/>
      <c r="P99" s="71" t="s">
        <v>405</v>
      </c>
      <c r="Q99" s="71" t="s">
        <v>425</v>
      </c>
      <c r="R99" s="71" t="s">
        <v>49</v>
      </c>
      <c r="S99" s="75">
        <v>137625</v>
      </c>
    </row>
    <row r="100" spans="1:19" x14ac:dyDescent="0.25">
      <c r="A100" s="46">
        <v>9695</v>
      </c>
      <c r="B100" s="50" t="s">
        <v>434</v>
      </c>
      <c r="C100" s="50"/>
      <c r="D100" s="50" t="s">
        <v>222</v>
      </c>
      <c r="M100" s="66" t="s">
        <v>26</v>
      </c>
      <c r="N100" s="70" t="s">
        <v>435</v>
      </c>
      <c r="O100" s="68"/>
      <c r="P100" s="71" t="s">
        <v>405</v>
      </c>
      <c r="Q100" s="71" t="s">
        <v>436</v>
      </c>
      <c r="R100" s="71" t="s">
        <v>49</v>
      </c>
      <c r="S100" s="75">
        <v>133313</v>
      </c>
    </row>
    <row r="101" spans="1:19" x14ac:dyDescent="0.25">
      <c r="A101" s="47">
        <v>9704</v>
      </c>
      <c r="B101" s="51" t="s">
        <v>437</v>
      </c>
      <c r="C101" s="51"/>
      <c r="D101" s="51" t="s">
        <v>247</v>
      </c>
      <c r="M101" s="66" t="s">
        <v>26</v>
      </c>
      <c r="N101" s="70" t="s">
        <v>438</v>
      </c>
      <c r="O101" s="68"/>
      <c r="P101" s="71" t="s">
        <v>405</v>
      </c>
      <c r="Q101" s="71" t="s">
        <v>439</v>
      </c>
      <c r="R101" s="71" t="s">
        <v>49</v>
      </c>
      <c r="S101" s="75">
        <v>132938</v>
      </c>
    </row>
    <row r="102" spans="1:19" x14ac:dyDescent="0.25">
      <c r="A102" s="46">
        <v>9727</v>
      </c>
      <c r="B102" s="53" t="s">
        <v>440</v>
      </c>
      <c r="C102" s="53"/>
      <c r="D102" s="53" t="s">
        <v>288</v>
      </c>
      <c r="M102" s="66" t="s">
        <v>26</v>
      </c>
      <c r="N102" s="70" t="s">
        <v>441</v>
      </c>
      <c r="O102" s="68"/>
      <c r="P102" s="71" t="s">
        <v>405</v>
      </c>
      <c r="Q102" s="71" t="s">
        <v>48</v>
      </c>
      <c r="R102" s="71" t="s">
        <v>49</v>
      </c>
      <c r="S102" s="75">
        <v>123938</v>
      </c>
    </row>
    <row r="103" spans="1:19" x14ac:dyDescent="0.25">
      <c r="A103" s="47">
        <v>9729</v>
      </c>
      <c r="B103" s="51" t="s">
        <v>442</v>
      </c>
      <c r="C103" s="51"/>
      <c r="D103" s="51" t="s">
        <v>293</v>
      </c>
      <c r="M103" s="66" t="s">
        <v>26</v>
      </c>
      <c r="N103" s="70" t="s">
        <v>443</v>
      </c>
      <c r="O103" s="68"/>
      <c r="P103" s="71" t="s">
        <v>405</v>
      </c>
      <c r="Q103" s="71" t="s">
        <v>436</v>
      </c>
      <c r="R103" s="71" t="s">
        <v>49</v>
      </c>
      <c r="S103" s="75">
        <v>149813</v>
      </c>
    </row>
    <row r="104" spans="1:19" x14ac:dyDescent="0.25">
      <c r="A104" s="46">
        <v>9738</v>
      </c>
      <c r="B104" s="53" t="s">
        <v>444</v>
      </c>
      <c r="C104" s="53"/>
      <c r="D104" s="53" t="s">
        <v>312</v>
      </c>
      <c r="M104" s="66" t="s">
        <v>26</v>
      </c>
      <c r="N104" s="70" t="s">
        <v>445</v>
      </c>
      <c r="O104" s="68"/>
      <c r="P104" s="71" t="s">
        <v>405</v>
      </c>
      <c r="Q104" s="71" t="s">
        <v>446</v>
      </c>
      <c r="R104" s="71" t="s">
        <v>49</v>
      </c>
      <c r="S104" s="75">
        <v>128438</v>
      </c>
    </row>
    <row r="105" spans="1:19" x14ac:dyDescent="0.25">
      <c r="A105" s="47">
        <v>9747</v>
      </c>
      <c r="B105" s="51" t="s">
        <v>447</v>
      </c>
      <c r="C105" s="51"/>
      <c r="D105" s="51" t="s">
        <v>58</v>
      </c>
      <c r="M105" s="66" t="s">
        <v>26</v>
      </c>
      <c r="N105" s="70" t="s">
        <v>448</v>
      </c>
      <c r="O105" s="68"/>
      <c r="P105" s="71" t="s">
        <v>405</v>
      </c>
      <c r="Q105" s="71" t="s">
        <v>449</v>
      </c>
      <c r="R105" s="71" t="s">
        <v>49</v>
      </c>
      <c r="S105" s="75">
        <v>132563</v>
      </c>
    </row>
    <row r="106" spans="1:19" x14ac:dyDescent="0.25">
      <c r="A106" s="46">
        <v>25173</v>
      </c>
      <c r="B106" s="53" t="s">
        <v>450</v>
      </c>
      <c r="C106" s="53"/>
      <c r="D106" s="53" t="s">
        <v>330</v>
      </c>
      <c r="M106" s="66" t="s">
        <v>26</v>
      </c>
      <c r="N106" s="70" t="s">
        <v>451</v>
      </c>
      <c r="O106" s="68"/>
      <c r="P106" s="71" t="s">
        <v>405</v>
      </c>
      <c r="Q106" s="71" t="s">
        <v>452</v>
      </c>
      <c r="R106" s="71" t="s">
        <v>49</v>
      </c>
      <c r="S106" s="75">
        <v>124500</v>
      </c>
    </row>
    <row r="107" spans="1:19" x14ac:dyDescent="0.25">
      <c r="A107" s="47">
        <v>9405</v>
      </c>
      <c r="B107" s="51" t="s">
        <v>453</v>
      </c>
      <c r="C107" s="51"/>
      <c r="D107" s="51" t="s">
        <v>42</v>
      </c>
      <c r="M107" s="66" t="s">
        <v>26</v>
      </c>
      <c r="N107" s="70" t="s">
        <v>454</v>
      </c>
      <c r="O107" s="68"/>
      <c r="P107" s="71" t="s">
        <v>405</v>
      </c>
      <c r="Q107" s="71" t="s">
        <v>436</v>
      </c>
      <c r="R107" s="71" t="s">
        <v>49</v>
      </c>
      <c r="S107" s="75">
        <v>144375</v>
      </c>
    </row>
    <row r="108" spans="1:19" x14ac:dyDescent="0.25">
      <c r="A108" s="46">
        <v>9406</v>
      </c>
      <c r="B108" s="53" t="s">
        <v>455</v>
      </c>
      <c r="C108" s="53"/>
      <c r="D108" s="53" t="s">
        <v>51</v>
      </c>
      <c r="M108" s="66" t="s">
        <v>26</v>
      </c>
      <c r="N108" s="77" t="s">
        <v>456</v>
      </c>
      <c r="O108" s="68"/>
      <c r="P108" s="78" t="s">
        <v>405</v>
      </c>
      <c r="Q108" s="78" t="s">
        <v>48</v>
      </c>
      <c r="R108" s="78" t="s">
        <v>49</v>
      </c>
      <c r="S108" s="79">
        <v>126563</v>
      </c>
    </row>
    <row r="109" spans="1:19" x14ac:dyDescent="0.25">
      <c r="A109" s="47">
        <v>9413</v>
      </c>
      <c r="B109" s="51" t="s">
        <v>457</v>
      </c>
      <c r="C109" s="51"/>
      <c r="D109" s="51" t="s">
        <v>64</v>
      </c>
      <c r="M109" s="66" t="s">
        <v>26</v>
      </c>
      <c r="N109" s="70" t="s">
        <v>458</v>
      </c>
      <c r="O109" s="68"/>
      <c r="P109" s="71" t="s">
        <v>405</v>
      </c>
      <c r="Q109" s="71" t="s">
        <v>349</v>
      </c>
      <c r="R109" s="71" t="s">
        <v>49</v>
      </c>
      <c r="S109" s="75">
        <v>126000</v>
      </c>
    </row>
    <row r="110" spans="1:19" x14ac:dyDescent="0.25">
      <c r="A110" s="46">
        <v>9415</v>
      </c>
      <c r="B110" s="53" t="s">
        <v>459</v>
      </c>
      <c r="C110" s="53"/>
      <c r="D110" s="53" t="s">
        <v>70</v>
      </c>
      <c r="M110" s="66" t="s">
        <v>26</v>
      </c>
      <c r="N110" s="70" t="s">
        <v>460</v>
      </c>
      <c r="O110" s="68"/>
      <c r="P110" s="71" t="s">
        <v>405</v>
      </c>
      <c r="Q110" s="71" t="s">
        <v>446</v>
      </c>
      <c r="R110" s="71" t="s">
        <v>49</v>
      </c>
      <c r="S110" s="75">
        <v>129750</v>
      </c>
    </row>
    <row r="111" spans="1:19" x14ac:dyDescent="0.25">
      <c r="A111" s="47">
        <v>9426</v>
      </c>
      <c r="B111" s="51" t="s">
        <v>461</v>
      </c>
      <c r="C111" s="51"/>
      <c r="D111" s="51" t="s">
        <v>103</v>
      </c>
      <c r="M111" s="66" t="s">
        <v>26</v>
      </c>
      <c r="N111" s="70" t="s">
        <v>462</v>
      </c>
      <c r="O111" s="68"/>
      <c r="P111" s="71" t="s">
        <v>405</v>
      </c>
      <c r="Q111" s="71" t="s">
        <v>463</v>
      </c>
      <c r="R111" s="71" t="s">
        <v>49</v>
      </c>
      <c r="S111" s="75">
        <v>125250</v>
      </c>
    </row>
    <row r="112" spans="1:19" x14ac:dyDescent="0.25">
      <c r="A112" s="46">
        <v>9431</v>
      </c>
      <c r="B112" s="53" t="s">
        <v>464</v>
      </c>
      <c r="C112" s="53"/>
      <c r="D112" s="53" t="s">
        <v>115</v>
      </c>
      <c r="M112" s="66" t="s">
        <v>26</v>
      </c>
      <c r="N112" s="70" t="s">
        <v>465</v>
      </c>
      <c r="O112" s="68"/>
      <c r="P112" s="71" t="s">
        <v>405</v>
      </c>
      <c r="Q112" s="71" t="s">
        <v>346</v>
      </c>
      <c r="R112" s="71" t="s">
        <v>49</v>
      </c>
      <c r="S112" s="75">
        <v>148125</v>
      </c>
    </row>
    <row r="113" spans="1:19" x14ac:dyDescent="0.25">
      <c r="A113" s="47">
        <v>9433</v>
      </c>
      <c r="B113" s="51" t="s">
        <v>466</v>
      </c>
      <c r="C113" s="51"/>
      <c r="D113" s="51" t="s">
        <v>122</v>
      </c>
      <c r="M113" s="66" t="s">
        <v>26</v>
      </c>
      <c r="N113" s="70" t="s">
        <v>467</v>
      </c>
      <c r="O113" s="68"/>
      <c r="P113" s="71" t="s">
        <v>405</v>
      </c>
      <c r="Q113" s="71" t="s">
        <v>468</v>
      </c>
      <c r="R113" s="71" t="s">
        <v>49</v>
      </c>
      <c r="S113" s="75">
        <v>132938</v>
      </c>
    </row>
    <row r="114" spans="1:19" x14ac:dyDescent="0.25">
      <c r="A114" s="46">
        <v>9444</v>
      </c>
      <c r="B114" s="53" t="s">
        <v>469</v>
      </c>
      <c r="C114" s="53"/>
      <c r="D114" s="53" t="s">
        <v>128</v>
      </c>
      <c r="M114" s="66" t="s">
        <v>26</v>
      </c>
      <c r="N114" s="70" t="s">
        <v>470</v>
      </c>
      <c r="O114" s="68"/>
      <c r="P114" s="71" t="s">
        <v>405</v>
      </c>
      <c r="Q114" s="71" t="s">
        <v>471</v>
      </c>
      <c r="R114" s="71" t="s">
        <v>49</v>
      </c>
      <c r="S114" s="75">
        <v>126563</v>
      </c>
    </row>
    <row r="115" spans="1:19" x14ac:dyDescent="0.25">
      <c r="A115" s="47">
        <v>9460</v>
      </c>
      <c r="B115" s="51" t="s">
        <v>472</v>
      </c>
      <c r="C115" s="51"/>
      <c r="D115" s="51" t="s">
        <v>146</v>
      </c>
      <c r="M115" s="66" t="s">
        <v>26</v>
      </c>
      <c r="N115" s="70" t="s">
        <v>473</v>
      </c>
      <c r="O115" s="68"/>
      <c r="P115" s="71" t="s">
        <v>474</v>
      </c>
      <c r="Q115" s="71" t="s">
        <v>475</v>
      </c>
      <c r="R115" s="71" t="s">
        <v>476</v>
      </c>
      <c r="S115" s="75">
        <v>195250</v>
      </c>
    </row>
    <row r="116" spans="1:19" x14ac:dyDescent="0.25">
      <c r="A116" s="46">
        <v>9461</v>
      </c>
      <c r="B116" s="53" t="s">
        <v>477</v>
      </c>
      <c r="C116" s="53"/>
      <c r="D116" s="53"/>
      <c r="M116" s="66" t="s">
        <v>26</v>
      </c>
      <c r="N116" s="70" t="s">
        <v>478</v>
      </c>
      <c r="O116" s="68"/>
      <c r="P116" s="71" t="s">
        <v>474</v>
      </c>
      <c r="Q116" s="71" t="s">
        <v>476</v>
      </c>
      <c r="R116" s="71" t="s">
        <v>49</v>
      </c>
      <c r="S116" s="75">
        <v>185125</v>
      </c>
    </row>
    <row r="117" spans="1:19" x14ac:dyDescent="0.25">
      <c r="A117" s="46">
        <v>9586</v>
      </c>
      <c r="B117" s="53" t="s">
        <v>479</v>
      </c>
      <c r="C117" s="53"/>
      <c r="D117" s="53" t="s">
        <v>156</v>
      </c>
      <c r="M117" s="66" t="s">
        <v>26</v>
      </c>
      <c r="N117" s="70" t="s">
        <v>480</v>
      </c>
      <c r="O117" s="68"/>
      <c r="P117" s="71" t="s">
        <v>474</v>
      </c>
      <c r="Q117" s="71" t="s">
        <v>481</v>
      </c>
      <c r="R117" s="71" t="s">
        <v>476</v>
      </c>
      <c r="S117" s="75">
        <v>205938</v>
      </c>
    </row>
    <row r="118" spans="1:19" x14ac:dyDescent="0.25">
      <c r="A118" s="47">
        <v>9592</v>
      </c>
      <c r="B118" s="51" t="s">
        <v>482</v>
      </c>
      <c r="C118" s="51"/>
      <c r="D118" s="51" t="s">
        <v>161</v>
      </c>
      <c r="M118" s="66" t="s">
        <v>26</v>
      </c>
      <c r="N118" s="70" t="s">
        <v>483</v>
      </c>
      <c r="O118" s="68"/>
      <c r="P118" s="71" t="s">
        <v>474</v>
      </c>
      <c r="Q118" s="71" t="s">
        <v>484</v>
      </c>
      <c r="R118" s="71" t="s">
        <v>476</v>
      </c>
      <c r="S118" s="75">
        <v>183438</v>
      </c>
    </row>
    <row r="119" spans="1:19" x14ac:dyDescent="0.25">
      <c r="A119" s="46">
        <v>9593</v>
      </c>
      <c r="B119" s="53" t="s">
        <v>485</v>
      </c>
      <c r="C119" s="53"/>
      <c r="D119" s="53" t="s">
        <v>166</v>
      </c>
      <c r="M119" s="66" t="s">
        <v>26</v>
      </c>
      <c r="N119" s="70" t="s">
        <v>486</v>
      </c>
      <c r="O119" s="68"/>
      <c r="P119" s="71" t="s">
        <v>474</v>
      </c>
      <c r="Q119" s="71" t="s">
        <v>481</v>
      </c>
      <c r="R119" s="71" t="s">
        <v>476</v>
      </c>
      <c r="S119" s="75">
        <v>193000</v>
      </c>
    </row>
    <row r="120" spans="1:19" x14ac:dyDescent="0.25">
      <c r="A120" s="47">
        <v>9599</v>
      </c>
      <c r="B120" s="50" t="s">
        <v>487</v>
      </c>
      <c r="C120" s="50"/>
      <c r="D120" s="50" t="s">
        <v>171</v>
      </c>
      <c r="M120" s="66" t="s">
        <v>26</v>
      </c>
      <c r="N120" s="70" t="s">
        <v>488</v>
      </c>
      <c r="O120" s="68"/>
      <c r="P120" s="71" t="s">
        <v>474</v>
      </c>
      <c r="Q120" s="71" t="s">
        <v>489</v>
      </c>
      <c r="R120" s="71" t="s">
        <v>476</v>
      </c>
      <c r="S120" s="75">
        <v>188313</v>
      </c>
    </row>
    <row r="121" spans="1:19" x14ac:dyDescent="0.25">
      <c r="A121" s="46">
        <v>9600</v>
      </c>
      <c r="B121" s="53" t="s">
        <v>490</v>
      </c>
      <c r="C121" s="53"/>
      <c r="D121" s="53" t="s">
        <v>176</v>
      </c>
      <c r="M121" s="66" t="s">
        <v>26</v>
      </c>
      <c r="N121" s="70" t="s">
        <v>491</v>
      </c>
      <c r="O121" s="68"/>
      <c r="P121" s="71" t="s">
        <v>474</v>
      </c>
      <c r="Q121" s="71" t="s">
        <v>492</v>
      </c>
      <c r="R121" s="71" t="s">
        <v>493</v>
      </c>
      <c r="S121" s="75">
        <v>215500</v>
      </c>
    </row>
    <row r="122" spans="1:19" x14ac:dyDescent="0.25">
      <c r="A122" s="47">
        <v>9601</v>
      </c>
      <c r="B122" s="50" t="s">
        <v>494</v>
      </c>
      <c r="C122" s="50"/>
      <c r="D122" s="50" t="s">
        <v>180</v>
      </c>
      <c r="M122" s="66" t="s">
        <v>26</v>
      </c>
      <c r="N122" s="70" t="s">
        <v>495</v>
      </c>
      <c r="O122" s="68"/>
      <c r="P122" s="71" t="s">
        <v>474</v>
      </c>
      <c r="Q122" s="71" t="s">
        <v>496</v>
      </c>
      <c r="R122" s="71" t="s">
        <v>476</v>
      </c>
      <c r="S122" s="75">
        <v>187188</v>
      </c>
    </row>
    <row r="123" spans="1:19" x14ac:dyDescent="0.25">
      <c r="A123" s="46">
        <v>9608</v>
      </c>
      <c r="B123" s="50" t="s">
        <v>497</v>
      </c>
      <c r="C123" s="50"/>
      <c r="D123" s="50" t="s">
        <v>185</v>
      </c>
      <c r="M123" s="66" t="s">
        <v>26</v>
      </c>
      <c r="N123" s="70" t="s">
        <v>498</v>
      </c>
      <c r="O123" s="68"/>
      <c r="P123" s="71" t="s">
        <v>474</v>
      </c>
      <c r="Q123" s="71" t="s">
        <v>499</v>
      </c>
      <c r="R123" s="71" t="s">
        <v>493</v>
      </c>
      <c r="S123" s="75">
        <v>171250</v>
      </c>
    </row>
    <row r="124" spans="1:19" x14ac:dyDescent="0.25">
      <c r="A124" s="47">
        <v>9611</v>
      </c>
      <c r="B124" s="51" t="s">
        <v>500</v>
      </c>
      <c r="C124" s="51"/>
      <c r="D124" s="51" t="s">
        <v>189</v>
      </c>
      <c r="M124" s="66" t="s">
        <v>26</v>
      </c>
      <c r="N124" s="70" t="s">
        <v>501</v>
      </c>
      <c r="O124" s="68"/>
      <c r="P124" s="71" t="s">
        <v>474</v>
      </c>
      <c r="Q124" s="71" t="s">
        <v>502</v>
      </c>
      <c r="R124" s="71" t="s">
        <v>493</v>
      </c>
      <c r="S124" s="75">
        <v>163938</v>
      </c>
    </row>
    <row r="125" spans="1:19" x14ac:dyDescent="0.25">
      <c r="A125" s="46">
        <v>9614</v>
      </c>
      <c r="B125" s="53" t="s">
        <v>503</v>
      </c>
      <c r="C125" s="53"/>
      <c r="D125" s="53" t="s">
        <v>194</v>
      </c>
      <c r="M125" s="66" t="s">
        <v>26</v>
      </c>
      <c r="N125" s="70" t="s">
        <v>504</v>
      </c>
      <c r="O125" s="68"/>
      <c r="P125" s="71" t="s">
        <v>474</v>
      </c>
      <c r="Q125" s="71" t="s">
        <v>505</v>
      </c>
      <c r="R125" s="71" t="s">
        <v>493</v>
      </c>
      <c r="S125" s="75">
        <v>196750</v>
      </c>
    </row>
    <row r="126" spans="1:19" x14ac:dyDescent="0.25">
      <c r="A126" s="47">
        <v>9625</v>
      </c>
      <c r="B126" s="51" t="s">
        <v>506</v>
      </c>
      <c r="C126" s="51"/>
      <c r="D126" s="51" t="s">
        <v>199</v>
      </c>
      <c r="M126" s="66" t="s">
        <v>26</v>
      </c>
      <c r="N126" s="70" t="s">
        <v>507</v>
      </c>
      <c r="O126" s="68"/>
      <c r="P126" s="71" t="s">
        <v>474</v>
      </c>
      <c r="Q126" s="71" t="s">
        <v>508</v>
      </c>
      <c r="R126" s="71" t="s">
        <v>476</v>
      </c>
      <c r="S126" s="75">
        <v>183625</v>
      </c>
    </row>
    <row r="127" spans="1:19" x14ac:dyDescent="0.25">
      <c r="A127" s="46">
        <v>9629</v>
      </c>
      <c r="B127" s="53" t="s">
        <v>509</v>
      </c>
      <c r="C127" s="53"/>
      <c r="D127" s="53" t="s">
        <v>204</v>
      </c>
      <c r="M127" s="66" t="s">
        <v>26</v>
      </c>
      <c r="N127" s="70" t="s">
        <v>510</v>
      </c>
      <c r="O127" s="68"/>
      <c r="P127" s="71" t="s">
        <v>474</v>
      </c>
      <c r="Q127" s="71" t="s">
        <v>481</v>
      </c>
      <c r="R127" s="71" t="s">
        <v>476</v>
      </c>
      <c r="S127" s="75">
        <v>187563</v>
      </c>
    </row>
    <row r="128" spans="1:19" x14ac:dyDescent="0.25">
      <c r="A128" s="47">
        <v>9631</v>
      </c>
      <c r="B128" s="51" t="s">
        <v>511</v>
      </c>
      <c r="C128" s="51"/>
      <c r="D128" s="51" t="s">
        <v>208</v>
      </c>
      <c r="M128" s="66" t="s">
        <v>26</v>
      </c>
      <c r="N128" s="70" t="s">
        <v>512</v>
      </c>
      <c r="O128" s="68"/>
      <c r="P128" s="71" t="s">
        <v>474</v>
      </c>
      <c r="Q128" s="71" t="s">
        <v>476</v>
      </c>
      <c r="R128" s="71" t="s">
        <v>476</v>
      </c>
      <c r="S128" s="75">
        <v>193000</v>
      </c>
    </row>
    <row r="129" spans="13:19" x14ac:dyDescent="0.25">
      <c r="M129" s="66" t="s">
        <v>26</v>
      </c>
      <c r="N129" s="70" t="s">
        <v>513</v>
      </c>
      <c r="O129" s="68"/>
      <c r="P129" s="71" t="s">
        <v>474</v>
      </c>
      <c r="Q129" s="71" t="s">
        <v>481</v>
      </c>
      <c r="R129" s="71" t="s">
        <v>476</v>
      </c>
      <c r="S129" s="75">
        <v>194875</v>
      </c>
    </row>
    <row r="130" spans="13:19" x14ac:dyDescent="0.25">
      <c r="M130" s="80" t="s">
        <v>22</v>
      </c>
      <c r="N130" s="70" t="s">
        <v>46</v>
      </c>
      <c r="O130" s="68"/>
      <c r="P130" s="71" t="s">
        <v>47</v>
      </c>
      <c r="Q130" s="71" t="s">
        <v>48</v>
      </c>
      <c r="R130" s="71" t="s">
        <v>49</v>
      </c>
      <c r="S130" s="28">
        <v>140000</v>
      </c>
    </row>
    <row r="131" spans="13:19" x14ac:dyDescent="0.25">
      <c r="M131" s="80" t="s">
        <v>22</v>
      </c>
      <c r="N131" s="70" t="s">
        <v>55</v>
      </c>
      <c r="O131" s="68" t="s">
        <v>56</v>
      </c>
      <c r="P131" s="71" t="s">
        <v>47</v>
      </c>
      <c r="Q131" s="71" t="s">
        <v>48</v>
      </c>
      <c r="R131" s="71" t="s">
        <v>49</v>
      </c>
      <c r="S131" s="28">
        <v>140000</v>
      </c>
    </row>
    <row r="132" spans="13:19" x14ac:dyDescent="0.25">
      <c r="M132" s="80" t="s">
        <v>22</v>
      </c>
      <c r="N132" s="70" t="s">
        <v>61</v>
      </c>
      <c r="O132" s="68" t="s">
        <v>62</v>
      </c>
      <c r="P132" s="71" t="s">
        <v>47</v>
      </c>
      <c r="Q132" s="71" t="s">
        <v>48</v>
      </c>
      <c r="R132" s="71" t="s">
        <v>49</v>
      </c>
      <c r="S132" s="28">
        <v>141875</v>
      </c>
    </row>
    <row r="133" spans="13:19" x14ac:dyDescent="0.25">
      <c r="M133" s="80" t="s">
        <v>22</v>
      </c>
      <c r="N133" s="70" t="s">
        <v>20</v>
      </c>
      <c r="O133" s="68" t="s">
        <v>67</v>
      </c>
      <c r="P133" s="71" t="s">
        <v>47</v>
      </c>
      <c r="Q133" s="71" t="s">
        <v>68</v>
      </c>
      <c r="R133" s="71" t="s">
        <v>49</v>
      </c>
      <c r="S133" s="28">
        <v>143750</v>
      </c>
    </row>
    <row r="134" spans="13:19" x14ac:dyDescent="0.25">
      <c r="M134" s="80" t="s">
        <v>22</v>
      </c>
      <c r="N134" s="70" t="s">
        <v>25</v>
      </c>
      <c r="O134" s="68" t="s">
        <v>73</v>
      </c>
      <c r="P134" s="71" t="s">
        <v>47</v>
      </c>
      <c r="Q134" s="71" t="s">
        <v>74</v>
      </c>
      <c r="R134" s="71" t="s">
        <v>49</v>
      </c>
      <c r="S134" s="28">
        <v>155000</v>
      </c>
    </row>
    <row r="135" spans="13:19" x14ac:dyDescent="0.25">
      <c r="M135" s="80" t="s">
        <v>22</v>
      </c>
      <c r="N135" s="70" t="s">
        <v>79</v>
      </c>
      <c r="O135" s="68" t="s">
        <v>80</v>
      </c>
      <c r="P135" s="71" t="s">
        <v>47</v>
      </c>
      <c r="Q135" s="71" t="s">
        <v>81</v>
      </c>
      <c r="R135" s="71" t="s">
        <v>49</v>
      </c>
      <c r="S135" s="28">
        <v>135125</v>
      </c>
    </row>
    <row r="136" spans="13:19" x14ac:dyDescent="0.25">
      <c r="M136" s="80" t="s">
        <v>22</v>
      </c>
      <c r="N136" s="70" t="s">
        <v>86</v>
      </c>
      <c r="O136" s="68" t="s">
        <v>87</v>
      </c>
      <c r="P136" s="71" t="s">
        <v>47</v>
      </c>
      <c r="Q136" s="71" t="s">
        <v>88</v>
      </c>
      <c r="R136" s="71" t="s">
        <v>49</v>
      </c>
      <c r="S136" s="28">
        <v>141875</v>
      </c>
    </row>
    <row r="137" spans="13:19" x14ac:dyDescent="0.25">
      <c r="M137" s="80" t="s">
        <v>22</v>
      </c>
      <c r="N137" s="70" t="s">
        <v>93</v>
      </c>
      <c r="O137" s="68" t="s">
        <v>94</v>
      </c>
      <c r="P137" s="71" t="s">
        <v>47</v>
      </c>
      <c r="Q137" s="71" t="s">
        <v>95</v>
      </c>
      <c r="R137" s="71" t="s">
        <v>49</v>
      </c>
      <c r="S137" s="28">
        <v>144500</v>
      </c>
    </row>
    <row r="138" spans="13:19" x14ac:dyDescent="0.25">
      <c r="M138" s="80" t="s">
        <v>22</v>
      </c>
      <c r="N138" s="70" t="s">
        <v>24</v>
      </c>
      <c r="O138" s="68" t="s">
        <v>100</v>
      </c>
      <c r="P138" s="71" t="s">
        <v>47</v>
      </c>
      <c r="Q138" s="71" t="s">
        <v>101</v>
      </c>
      <c r="R138" s="71" t="s">
        <v>49</v>
      </c>
      <c r="S138" s="28">
        <v>133250</v>
      </c>
    </row>
    <row r="139" spans="13:19" x14ac:dyDescent="0.25">
      <c r="M139" s="80" t="s">
        <v>22</v>
      </c>
      <c r="N139" s="70" t="s">
        <v>106</v>
      </c>
      <c r="O139" s="68" t="s">
        <v>107</v>
      </c>
      <c r="P139" s="71" t="s">
        <v>47</v>
      </c>
      <c r="Q139" s="71" t="s">
        <v>95</v>
      </c>
      <c r="R139" s="71" t="s">
        <v>49</v>
      </c>
      <c r="S139" s="28">
        <v>145625</v>
      </c>
    </row>
    <row r="140" spans="13:19" x14ac:dyDescent="0.25">
      <c r="M140" s="80" t="s">
        <v>22</v>
      </c>
      <c r="N140" s="70" t="s">
        <v>112</v>
      </c>
      <c r="O140" s="68" t="s">
        <v>113</v>
      </c>
      <c r="P140" s="71" t="s">
        <v>47</v>
      </c>
      <c r="Q140" s="71" t="s">
        <v>101</v>
      </c>
      <c r="R140" s="71" t="s">
        <v>49</v>
      </c>
      <c r="S140" s="28">
        <v>132500</v>
      </c>
    </row>
    <row r="141" spans="13:19" x14ac:dyDescent="0.25">
      <c r="M141" s="80" t="s">
        <v>22</v>
      </c>
      <c r="N141" s="70" t="s">
        <v>118</v>
      </c>
      <c r="O141" s="68" t="s">
        <v>119</v>
      </c>
      <c r="P141" s="71" t="s">
        <v>47</v>
      </c>
      <c r="Q141" s="71" t="s">
        <v>120</v>
      </c>
      <c r="R141" s="71" t="s">
        <v>49</v>
      </c>
      <c r="S141" s="28">
        <v>143750</v>
      </c>
    </row>
    <row r="142" spans="13:19" x14ac:dyDescent="0.25">
      <c r="M142" s="80" t="s">
        <v>22</v>
      </c>
      <c r="N142" s="70" t="s">
        <v>124</v>
      </c>
      <c r="O142" s="68" t="s">
        <v>125</v>
      </c>
      <c r="P142" s="71" t="s">
        <v>47</v>
      </c>
      <c r="Q142" s="71" t="s">
        <v>126</v>
      </c>
      <c r="R142" s="71" t="s">
        <v>49</v>
      </c>
      <c r="S142" s="28">
        <v>144500</v>
      </c>
    </row>
    <row r="143" spans="13:19" x14ac:dyDescent="0.25">
      <c r="M143" s="80" t="s">
        <v>22</v>
      </c>
      <c r="N143" s="70" t="s">
        <v>130</v>
      </c>
      <c r="O143" s="68" t="s">
        <v>131</v>
      </c>
      <c r="P143" s="71" t="s">
        <v>47</v>
      </c>
      <c r="Q143" s="71" t="s">
        <v>132</v>
      </c>
      <c r="R143" s="71" t="s">
        <v>49</v>
      </c>
      <c r="S143" s="28">
        <v>144500</v>
      </c>
    </row>
    <row r="144" spans="13:19" x14ac:dyDescent="0.25">
      <c r="M144" s="80" t="s">
        <v>22</v>
      </c>
      <c r="N144" s="70" t="s">
        <v>136</v>
      </c>
      <c r="O144" s="68" t="s">
        <v>137</v>
      </c>
      <c r="P144" s="71" t="s">
        <v>47</v>
      </c>
      <c r="Q144" s="71" t="s">
        <v>138</v>
      </c>
      <c r="R144" s="71" t="s">
        <v>49</v>
      </c>
      <c r="S144" s="28">
        <v>133625</v>
      </c>
    </row>
    <row r="145" spans="13:19" x14ac:dyDescent="0.25">
      <c r="M145" s="80" t="s">
        <v>22</v>
      </c>
      <c r="N145" s="70" t="s">
        <v>142</v>
      </c>
      <c r="O145" s="68" t="s">
        <v>143</v>
      </c>
      <c r="P145" s="71" t="s">
        <v>47</v>
      </c>
      <c r="Q145" s="71" t="s">
        <v>144</v>
      </c>
      <c r="R145" s="71" t="s">
        <v>49</v>
      </c>
      <c r="S145" s="28">
        <v>137000</v>
      </c>
    </row>
    <row r="146" spans="13:19" x14ac:dyDescent="0.25">
      <c r="M146" s="80" t="s">
        <v>22</v>
      </c>
      <c r="N146" s="70" t="s">
        <v>148</v>
      </c>
      <c r="O146" s="68" t="s">
        <v>149</v>
      </c>
      <c r="P146" s="71" t="s">
        <v>47</v>
      </c>
      <c r="Q146" s="71" t="s">
        <v>150</v>
      </c>
      <c r="R146" s="71" t="s">
        <v>49</v>
      </c>
      <c r="S146" s="28">
        <v>138500</v>
      </c>
    </row>
    <row r="147" spans="13:19" x14ac:dyDescent="0.25">
      <c r="M147" s="80" t="s">
        <v>22</v>
      </c>
      <c r="N147" s="70" t="s">
        <v>153</v>
      </c>
      <c r="O147" s="68" t="s">
        <v>154</v>
      </c>
      <c r="P147" s="71" t="s">
        <v>47</v>
      </c>
      <c r="Q147" s="71" t="s">
        <v>138</v>
      </c>
      <c r="R147" s="71" t="s">
        <v>49</v>
      </c>
      <c r="S147" s="28">
        <v>137000</v>
      </c>
    </row>
    <row r="148" spans="13:19" x14ac:dyDescent="0.25">
      <c r="M148" s="80" t="s">
        <v>22</v>
      </c>
      <c r="N148" s="70" t="s">
        <v>158</v>
      </c>
      <c r="O148" s="68" t="s">
        <v>159</v>
      </c>
      <c r="P148" s="71" t="s">
        <v>47</v>
      </c>
      <c r="Q148" s="71" t="s">
        <v>74</v>
      </c>
      <c r="R148" s="71" t="s">
        <v>49</v>
      </c>
      <c r="S148" s="28">
        <v>151250</v>
      </c>
    </row>
    <row r="149" spans="13:19" x14ac:dyDescent="0.25">
      <c r="M149" s="80" t="s">
        <v>22</v>
      </c>
      <c r="N149" s="70" t="s">
        <v>163</v>
      </c>
      <c r="O149" s="68"/>
      <c r="P149" s="71" t="s">
        <v>47</v>
      </c>
      <c r="Q149" s="71" t="s">
        <v>164</v>
      </c>
      <c r="R149" s="71" t="s">
        <v>49</v>
      </c>
      <c r="S149" s="28">
        <v>141875</v>
      </c>
    </row>
    <row r="150" spans="13:19" x14ac:dyDescent="0.25">
      <c r="M150" s="80" t="s">
        <v>22</v>
      </c>
      <c r="N150" s="70" t="s">
        <v>168</v>
      </c>
      <c r="O150" s="68" t="s">
        <v>169</v>
      </c>
      <c r="P150" s="71" t="s">
        <v>47</v>
      </c>
      <c r="Q150" s="71" t="s">
        <v>120</v>
      </c>
      <c r="R150" s="71" t="s">
        <v>49</v>
      </c>
      <c r="S150" s="28">
        <v>138125</v>
      </c>
    </row>
    <row r="151" spans="13:19" x14ac:dyDescent="0.25">
      <c r="M151" s="80" t="s">
        <v>22</v>
      </c>
      <c r="N151" s="70" t="s">
        <v>173</v>
      </c>
      <c r="O151" s="68" t="s">
        <v>174</v>
      </c>
      <c r="P151" s="71" t="s">
        <v>47</v>
      </c>
      <c r="Q151" s="71" t="s">
        <v>120</v>
      </c>
      <c r="R151" s="71" t="s">
        <v>49</v>
      </c>
      <c r="S151" s="28">
        <v>135500</v>
      </c>
    </row>
    <row r="152" spans="13:19" x14ac:dyDescent="0.25">
      <c r="M152" s="80" t="s">
        <v>22</v>
      </c>
      <c r="N152" s="70" t="s">
        <v>178</v>
      </c>
      <c r="O152" s="68"/>
      <c r="P152" s="71" t="s">
        <v>47</v>
      </c>
      <c r="Q152" s="71" t="s">
        <v>48</v>
      </c>
      <c r="R152" s="71" t="s">
        <v>49</v>
      </c>
      <c r="S152" s="28">
        <v>143000</v>
      </c>
    </row>
    <row r="153" spans="13:19" x14ac:dyDescent="0.25">
      <c r="M153" s="80" t="s">
        <v>22</v>
      </c>
      <c r="N153" s="70" t="s">
        <v>182</v>
      </c>
      <c r="O153" s="68" t="s">
        <v>183</v>
      </c>
      <c r="P153" s="71" t="s">
        <v>47</v>
      </c>
      <c r="Q153" s="71" t="s">
        <v>81</v>
      </c>
      <c r="R153" s="71" t="s">
        <v>49</v>
      </c>
      <c r="S153" s="28">
        <v>135125</v>
      </c>
    </row>
    <row r="154" spans="13:19" x14ac:dyDescent="0.25">
      <c r="M154" s="80" t="s">
        <v>22</v>
      </c>
      <c r="N154" s="70" t="s">
        <v>186</v>
      </c>
      <c r="O154" s="68" t="s">
        <v>187</v>
      </c>
      <c r="P154" s="71" t="s">
        <v>47</v>
      </c>
      <c r="Q154" s="71" t="s">
        <v>88</v>
      </c>
      <c r="R154" s="71" t="s">
        <v>49</v>
      </c>
      <c r="S154" s="28">
        <v>141125</v>
      </c>
    </row>
    <row r="155" spans="13:19" x14ac:dyDescent="0.25">
      <c r="M155" s="80" t="s">
        <v>22</v>
      </c>
      <c r="N155" s="70" t="s">
        <v>190</v>
      </c>
      <c r="O155" s="68" t="s">
        <v>191</v>
      </c>
      <c r="P155" s="71" t="s">
        <v>47</v>
      </c>
      <c r="Q155" s="71" t="s">
        <v>192</v>
      </c>
      <c r="R155" s="71" t="s">
        <v>49</v>
      </c>
      <c r="S155" s="28">
        <v>153125</v>
      </c>
    </row>
    <row r="156" spans="13:19" x14ac:dyDescent="0.25">
      <c r="M156" s="80" t="s">
        <v>22</v>
      </c>
      <c r="N156" s="70" t="s">
        <v>195</v>
      </c>
      <c r="O156" s="68" t="s">
        <v>196</v>
      </c>
      <c r="P156" s="71" t="s">
        <v>47</v>
      </c>
      <c r="Q156" s="71" t="s">
        <v>197</v>
      </c>
      <c r="R156" s="71" t="s">
        <v>49</v>
      </c>
      <c r="S156" s="28">
        <v>136250</v>
      </c>
    </row>
    <row r="157" spans="13:19" x14ac:dyDescent="0.25">
      <c r="M157" s="80" t="s">
        <v>22</v>
      </c>
      <c r="N157" s="70" t="s">
        <v>200</v>
      </c>
      <c r="O157" s="68" t="s">
        <v>201</v>
      </c>
      <c r="P157" s="71" t="s">
        <v>47</v>
      </c>
      <c r="Q157" s="71" t="s">
        <v>202</v>
      </c>
      <c r="R157" s="71" t="s">
        <v>49</v>
      </c>
      <c r="S157" s="28">
        <v>139250</v>
      </c>
    </row>
    <row r="158" spans="13:19" x14ac:dyDescent="0.25">
      <c r="M158" s="80" t="s">
        <v>22</v>
      </c>
      <c r="N158" s="70" t="s">
        <v>205</v>
      </c>
      <c r="O158" s="68" t="s">
        <v>206</v>
      </c>
      <c r="P158" s="71" t="s">
        <v>47</v>
      </c>
      <c r="Q158" s="71" t="s">
        <v>48</v>
      </c>
      <c r="R158" s="71" t="s">
        <v>49</v>
      </c>
      <c r="S158" s="28">
        <v>144125</v>
      </c>
    </row>
    <row r="159" spans="13:19" x14ac:dyDescent="0.25">
      <c r="M159" s="80" t="s">
        <v>22</v>
      </c>
      <c r="N159" s="70" t="s">
        <v>209</v>
      </c>
      <c r="O159" s="68" t="s">
        <v>210</v>
      </c>
      <c r="P159" s="71" t="s">
        <v>47</v>
      </c>
      <c r="Q159" s="71" t="s">
        <v>211</v>
      </c>
      <c r="R159" s="71" t="s">
        <v>49</v>
      </c>
      <c r="S159" s="28">
        <v>133250</v>
      </c>
    </row>
    <row r="160" spans="13:19" x14ac:dyDescent="0.25">
      <c r="M160" s="80" t="s">
        <v>22</v>
      </c>
      <c r="N160" s="70" t="s">
        <v>214</v>
      </c>
      <c r="O160" s="68" t="s">
        <v>215</v>
      </c>
      <c r="P160" s="71" t="s">
        <v>47</v>
      </c>
      <c r="Q160" s="71" t="s">
        <v>216</v>
      </c>
      <c r="R160" s="71" t="s">
        <v>49</v>
      </c>
      <c r="S160" s="28">
        <v>146750</v>
      </c>
    </row>
    <row r="161" spans="13:19" x14ac:dyDescent="0.25">
      <c r="M161" s="80" t="s">
        <v>22</v>
      </c>
      <c r="N161" s="70" t="s">
        <v>219</v>
      </c>
      <c r="O161" s="68" t="s">
        <v>220</v>
      </c>
      <c r="P161" s="71" t="s">
        <v>47</v>
      </c>
      <c r="Q161" s="71" t="s">
        <v>48</v>
      </c>
      <c r="R161" s="71" t="s">
        <v>49</v>
      </c>
      <c r="S161" s="28">
        <v>139625</v>
      </c>
    </row>
    <row r="162" spans="13:19" x14ac:dyDescent="0.25">
      <c r="M162" s="80" t="s">
        <v>22</v>
      </c>
      <c r="N162" s="70" t="s">
        <v>223</v>
      </c>
      <c r="O162" s="68" t="s">
        <v>224</v>
      </c>
      <c r="P162" s="71" t="s">
        <v>47</v>
      </c>
      <c r="Q162" s="71" t="s">
        <v>48</v>
      </c>
      <c r="R162" s="71" t="s">
        <v>49</v>
      </c>
      <c r="S162" s="28">
        <v>143750</v>
      </c>
    </row>
    <row r="163" spans="13:19" x14ac:dyDescent="0.25">
      <c r="M163" s="80" t="s">
        <v>22</v>
      </c>
      <c r="N163" s="70" t="s">
        <v>227</v>
      </c>
      <c r="O163" s="68" t="s">
        <v>228</v>
      </c>
      <c r="P163" s="71" t="s">
        <v>47</v>
      </c>
      <c r="Q163" s="71" t="s">
        <v>229</v>
      </c>
      <c r="R163" s="71" t="s">
        <v>49</v>
      </c>
      <c r="S163" s="28">
        <v>143375</v>
      </c>
    </row>
    <row r="164" spans="13:19" x14ac:dyDescent="0.25">
      <c r="M164" s="80" t="s">
        <v>22</v>
      </c>
      <c r="N164" s="70" t="s">
        <v>232</v>
      </c>
      <c r="O164" s="68" t="s">
        <v>233</v>
      </c>
      <c r="P164" s="71" t="s">
        <v>47</v>
      </c>
      <c r="Q164" s="71" t="s">
        <v>144</v>
      </c>
      <c r="R164" s="71" t="s">
        <v>49</v>
      </c>
      <c r="S164" s="28">
        <v>139250</v>
      </c>
    </row>
    <row r="165" spans="13:19" x14ac:dyDescent="0.25">
      <c r="M165" s="80" t="s">
        <v>22</v>
      </c>
      <c r="N165" s="70" t="s">
        <v>236</v>
      </c>
      <c r="O165" s="68" t="s">
        <v>237</v>
      </c>
      <c r="P165" s="71" t="s">
        <v>47</v>
      </c>
      <c r="Q165" s="71" t="s">
        <v>229</v>
      </c>
      <c r="R165" s="71" t="s">
        <v>49</v>
      </c>
      <c r="S165" s="28">
        <v>143000</v>
      </c>
    </row>
    <row r="166" spans="13:19" x14ac:dyDescent="0.25">
      <c r="M166" s="80" t="s">
        <v>22</v>
      </c>
      <c r="N166" s="70" t="s">
        <v>240</v>
      </c>
      <c r="O166" s="68" t="s">
        <v>241</v>
      </c>
      <c r="P166" s="71" t="s">
        <v>47</v>
      </c>
      <c r="Q166" s="71" t="s">
        <v>48</v>
      </c>
      <c r="R166" s="71" t="s">
        <v>49</v>
      </c>
      <c r="S166" s="28">
        <v>142625</v>
      </c>
    </row>
    <row r="167" spans="13:19" x14ac:dyDescent="0.25">
      <c r="M167" s="80" t="s">
        <v>22</v>
      </c>
      <c r="N167" s="70" t="s">
        <v>244</v>
      </c>
      <c r="O167" s="68" t="s">
        <v>245</v>
      </c>
      <c r="P167" s="71" t="s">
        <v>47</v>
      </c>
      <c r="Q167" s="71" t="s">
        <v>48</v>
      </c>
      <c r="R167" s="71" t="s">
        <v>49</v>
      </c>
      <c r="S167" s="28">
        <v>142250</v>
      </c>
    </row>
    <row r="168" spans="13:19" x14ac:dyDescent="0.25">
      <c r="M168" s="80" t="s">
        <v>22</v>
      </c>
      <c r="N168" s="70" t="s">
        <v>248</v>
      </c>
      <c r="O168" s="68" t="s">
        <v>249</v>
      </c>
      <c r="P168" s="71" t="s">
        <v>47</v>
      </c>
      <c r="Q168" s="71" t="s">
        <v>48</v>
      </c>
      <c r="R168" s="71" t="s">
        <v>49</v>
      </c>
      <c r="S168" s="28">
        <v>144125</v>
      </c>
    </row>
    <row r="169" spans="13:19" x14ac:dyDescent="0.25">
      <c r="M169" s="80" t="s">
        <v>22</v>
      </c>
      <c r="N169" s="70" t="s">
        <v>252</v>
      </c>
      <c r="O169" s="68" t="s">
        <v>253</v>
      </c>
      <c r="P169" s="71" t="s">
        <v>47</v>
      </c>
      <c r="Q169" s="71" t="s">
        <v>68</v>
      </c>
      <c r="R169" s="71" t="s">
        <v>49</v>
      </c>
      <c r="S169" s="28">
        <v>143375</v>
      </c>
    </row>
    <row r="170" spans="13:19" x14ac:dyDescent="0.25">
      <c r="M170" s="80" t="s">
        <v>22</v>
      </c>
      <c r="N170" s="70" t="s">
        <v>256</v>
      </c>
      <c r="O170" s="68" t="s">
        <v>257</v>
      </c>
      <c r="P170" s="71" t="s">
        <v>47</v>
      </c>
      <c r="Q170" s="71" t="s">
        <v>258</v>
      </c>
      <c r="R170" s="71" t="s">
        <v>49</v>
      </c>
      <c r="S170" s="28">
        <v>144500</v>
      </c>
    </row>
    <row r="171" spans="13:19" x14ac:dyDescent="0.25">
      <c r="M171" s="80" t="s">
        <v>22</v>
      </c>
      <c r="N171" s="70" t="s">
        <v>261</v>
      </c>
      <c r="O171" s="68" t="s">
        <v>262</v>
      </c>
      <c r="P171" s="71" t="s">
        <v>47</v>
      </c>
      <c r="Q171" s="71" t="s">
        <v>68</v>
      </c>
      <c r="R171" s="71" t="s">
        <v>49</v>
      </c>
      <c r="S171" s="28">
        <v>143375</v>
      </c>
    </row>
    <row r="172" spans="13:19" x14ac:dyDescent="0.25">
      <c r="M172" s="80" t="s">
        <v>22</v>
      </c>
      <c r="N172" s="70" t="s">
        <v>265</v>
      </c>
      <c r="O172" s="68" t="s">
        <v>266</v>
      </c>
      <c r="P172" s="71" t="s">
        <v>47</v>
      </c>
      <c r="Q172" s="71" t="s">
        <v>68</v>
      </c>
      <c r="R172" s="71" t="s">
        <v>49</v>
      </c>
      <c r="S172" s="28">
        <v>143375</v>
      </c>
    </row>
    <row r="173" spans="13:19" x14ac:dyDescent="0.25">
      <c r="M173" s="80" t="s">
        <v>22</v>
      </c>
      <c r="N173" s="70" t="s">
        <v>269</v>
      </c>
      <c r="O173" s="68"/>
      <c r="P173" s="71" t="s">
        <v>47</v>
      </c>
      <c r="Q173" s="71" t="s">
        <v>48</v>
      </c>
      <c r="R173" s="71" t="s">
        <v>49</v>
      </c>
      <c r="S173" s="28">
        <v>143375</v>
      </c>
    </row>
    <row r="174" spans="13:19" x14ac:dyDescent="0.25">
      <c r="M174" s="80" t="s">
        <v>22</v>
      </c>
      <c r="N174" s="70" t="s">
        <v>272</v>
      </c>
      <c r="O174" s="68" t="s">
        <v>273</v>
      </c>
      <c r="P174" s="71" t="s">
        <v>47</v>
      </c>
      <c r="Q174" s="71" t="s">
        <v>48</v>
      </c>
      <c r="R174" s="71" t="s">
        <v>49</v>
      </c>
      <c r="S174" s="28">
        <v>144500</v>
      </c>
    </row>
    <row r="175" spans="13:19" x14ac:dyDescent="0.25">
      <c r="M175" s="80" t="s">
        <v>22</v>
      </c>
      <c r="N175" s="70" t="s">
        <v>276</v>
      </c>
      <c r="O175" s="68" t="s">
        <v>277</v>
      </c>
      <c r="P175" s="71" t="s">
        <v>47</v>
      </c>
      <c r="Q175" s="71" t="s">
        <v>48</v>
      </c>
      <c r="R175" s="71" t="s">
        <v>49</v>
      </c>
      <c r="S175" s="28">
        <v>144125</v>
      </c>
    </row>
    <row r="176" spans="13:19" x14ac:dyDescent="0.25">
      <c r="M176" s="80" t="s">
        <v>22</v>
      </c>
      <c r="N176" s="70" t="s">
        <v>280</v>
      </c>
      <c r="O176" s="68" t="s">
        <v>281</v>
      </c>
      <c r="P176" s="71" t="s">
        <v>47</v>
      </c>
      <c r="Q176" s="71" t="s">
        <v>48</v>
      </c>
      <c r="R176" s="71" t="s">
        <v>49</v>
      </c>
      <c r="S176" s="28">
        <v>143375</v>
      </c>
    </row>
    <row r="177" spans="13:19" x14ac:dyDescent="0.25">
      <c r="M177" s="80" t="s">
        <v>22</v>
      </c>
      <c r="N177" s="70" t="s">
        <v>284</v>
      </c>
      <c r="O177" s="68" t="s">
        <v>285</v>
      </c>
      <c r="P177" s="71" t="s">
        <v>47</v>
      </c>
      <c r="Q177" s="71" t="s">
        <v>286</v>
      </c>
      <c r="R177" s="71" t="s">
        <v>49</v>
      </c>
      <c r="S177" s="28">
        <v>132875</v>
      </c>
    </row>
    <row r="178" spans="13:19" x14ac:dyDescent="0.25">
      <c r="M178" s="80" t="s">
        <v>22</v>
      </c>
      <c r="N178" s="70" t="s">
        <v>289</v>
      </c>
      <c r="O178" s="68" t="s">
        <v>290</v>
      </c>
      <c r="P178" s="71" t="s">
        <v>47</v>
      </c>
      <c r="Q178" s="71" t="s">
        <v>291</v>
      </c>
      <c r="R178" s="71" t="s">
        <v>49</v>
      </c>
      <c r="S178" s="28">
        <v>144875</v>
      </c>
    </row>
    <row r="179" spans="13:19" x14ac:dyDescent="0.25">
      <c r="M179" s="80" t="s">
        <v>22</v>
      </c>
      <c r="N179" s="70" t="s">
        <v>294</v>
      </c>
      <c r="O179" s="68" t="s">
        <v>295</v>
      </c>
      <c r="P179" s="71" t="s">
        <v>47</v>
      </c>
      <c r="Q179" s="71" t="s">
        <v>48</v>
      </c>
      <c r="R179" s="71" t="s">
        <v>49</v>
      </c>
      <c r="S179" s="28">
        <v>140375</v>
      </c>
    </row>
    <row r="180" spans="13:19" x14ac:dyDescent="0.25">
      <c r="M180" s="80" t="s">
        <v>22</v>
      </c>
      <c r="N180" s="70" t="s">
        <v>298</v>
      </c>
      <c r="O180" s="68" t="s">
        <v>299</v>
      </c>
      <c r="P180" s="71" t="s">
        <v>47</v>
      </c>
      <c r="Q180" s="71" t="s">
        <v>216</v>
      </c>
      <c r="R180" s="71" t="s">
        <v>49</v>
      </c>
      <c r="S180" s="28">
        <v>146000</v>
      </c>
    </row>
    <row r="181" spans="13:19" x14ac:dyDescent="0.25">
      <c r="M181" s="80" t="s">
        <v>22</v>
      </c>
      <c r="N181" s="70" t="s">
        <v>302</v>
      </c>
      <c r="O181" s="68" t="s">
        <v>303</v>
      </c>
      <c r="P181" s="71" t="s">
        <v>47</v>
      </c>
      <c r="Q181" s="71" t="s">
        <v>48</v>
      </c>
      <c r="R181" s="71" t="s">
        <v>49</v>
      </c>
      <c r="S181" s="28">
        <v>143375</v>
      </c>
    </row>
    <row r="182" spans="13:19" x14ac:dyDescent="0.25">
      <c r="M182" s="80" t="s">
        <v>22</v>
      </c>
      <c r="N182" s="70" t="s">
        <v>306</v>
      </c>
      <c r="O182" s="68" t="s">
        <v>307</v>
      </c>
      <c r="P182" s="71" t="s">
        <v>47</v>
      </c>
      <c r="Q182" s="71" t="s">
        <v>48</v>
      </c>
      <c r="R182" s="71" t="s">
        <v>49</v>
      </c>
      <c r="S182" s="28">
        <v>144125</v>
      </c>
    </row>
    <row r="183" spans="13:19" x14ac:dyDescent="0.25">
      <c r="M183" s="80" t="s">
        <v>22</v>
      </c>
      <c r="N183" s="70" t="s">
        <v>310</v>
      </c>
      <c r="O183" s="68"/>
      <c r="P183" s="71" t="s">
        <v>47</v>
      </c>
      <c r="Q183" s="71" t="s">
        <v>48</v>
      </c>
      <c r="R183" s="71" t="s">
        <v>49</v>
      </c>
      <c r="S183" s="28">
        <v>132875</v>
      </c>
    </row>
    <row r="184" spans="13:19" x14ac:dyDescent="0.25">
      <c r="M184" s="80" t="s">
        <v>22</v>
      </c>
      <c r="N184" s="70" t="s">
        <v>313</v>
      </c>
      <c r="O184" s="68"/>
      <c r="P184" s="71" t="s">
        <v>47</v>
      </c>
      <c r="Q184" s="71" t="s">
        <v>48</v>
      </c>
      <c r="R184" s="71" t="s">
        <v>49</v>
      </c>
      <c r="S184" s="28">
        <v>144125</v>
      </c>
    </row>
    <row r="185" spans="13:19" x14ac:dyDescent="0.25">
      <c r="M185" s="80" t="s">
        <v>22</v>
      </c>
      <c r="N185" s="70" t="s">
        <v>316</v>
      </c>
      <c r="O185" s="68" t="s">
        <v>317</v>
      </c>
      <c r="P185" s="71" t="s">
        <v>47</v>
      </c>
      <c r="Q185" s="71" t="s">
        <v>48</v>
      </c>
      <c r="R185" s="71" t="s">
        <v>49</v>
      </c>
      <c r="S185" s="28">
        <v>140750</v>
      </c>
    </row>
    <row r="186" spans="13:19" x14ac:dyDescent="0.25">
      <c r="M186" s="80" t="s">
        <v>22</v>
      </c>
      <c r="N186" s="70" t="s">
        <v>320</v>
      </c>
      <c r="O186" s="68" t="s">
        <v>321</v>
      </c>
      <c r="P186" s="71" t="s">
        <v>47</v>
      </c>
      <c r="Q186" s="71" t="s">
        <v>48</v>
      </c>
      <c r="R186" s="71" t="s">
        <v>49</v>
      </c>
      <c r="S186" s="28">
        <v>141875</v>
      </c>
    </row>
    <row r="187" spans="13:19" x14ac:dyDescent="0.25">
      <c r="M187" s="80" t="s">
        <v>22</v>
      </c>
      <c r="N187" s="70" t="s">
        <v>323</v>
      </c>
      <c r="O187" s="68" t="s">
        <v>324</v>
      </c>
      <c r="P187" s="71" t="s">
        <v>47</v>
      </c>
      <c r="Q187" s="71" t="s">
        <v>164</v>
      </c>
      <c r="R187" s="71" t="s">
        <v>49</v>
      </c>
      <c r="S187" s="28">
        <v>136625</v>
      </c>
    </row>
    <row r="188" spans="13:19" x14ac:dyDescent="0.25">
      <c r="M188" s="80" t="s">
        <v>22</v>
      </c>
      <c r="N188" s="70" t="s">
        <v>327</v>
      </c>
      <c r="O188" s="68" t="s">
        <v>328</v>
      </c>
      <c r="P188" s="71" t="s">
        <v>47</v>
      </c>
      <c r="Q188" s="71" t="s">
        <v>144</v>
      </c>
      <c r="R188" s="71" t="s">
        <v>49</v>
      </c>
      <c r="S188" s="28">
        <v>138500</v>
      </c>
    </row>
    <row r="189" spans="13:19" x14ac:dyDescent="0.25">
      <c r="M189" s="80" t="s">
        <v>22</v>
      </c>
      <c r="N189" s="70" t="s">
        <v>331</v>
      </c>
      <c r="O189" s="68" t="s">
        <v>332</v>
      </c>
      <c r="P189" s="71" t="s">
        <v>47</v>
      </c>
      <c r="Q189" s="71" t="s">
        <v>95</v>
      </c>
      <c r="R189" s="71" t="s">
        <v>49</v>
      </c>
      <c r="S189" s="28">
        <v>145625</v>
      </c>
    </row>
    <row r="190" spans="13:19" x14ac:dyDescent="0.25">
      <c r="M190" s="80" t="s">
        <v>22</v>
      </c>
      <c r="N190" s="70" t="s">
        <v>336</v>
      </c>
      <c r="O190" s="68" t="s">
        <v>337</v>
      </c>
      <c r="P190" s="71" t="s">
        <v>47</v>
      </c>
      <c r="Q190" s="71" t="s">
        <v>338</v>
      </c>
      <c r="R190" s="71" t="s">
        <v>49</v>
      </c>
      <c r="S190" s="28">
        <v>149750</v>
      </c>
    </row>
    <row r="191" spans="13:19" x14ac:dyDescent="0.25">
      <c r="M191" s="80" t="s">
        <v>22</v>
      </c>
      <c r="N191" s="70" t="s">
        <v>339</v>
      </c>
      <c r="O191" s="68" t="s">
        <v>340</v>
      </c>
      <c r="P191" s="71" t="s">
        <v>47</v>
      </c>
      <c r="Q191" s="71" t="s">
        <v>286</v>
      </c>
      <c r="R191" s="71" t="s">
        <v>49</v>
      </c>
      <c r="S191" s="28">
        <v>134375</v>
      </c>
    </row>
    <row r="192" spans="13:19" x14ac:dyDescent="0.25">
      <c r="M192" s="80" t="s">
        <v>22</v>
      </c>
      <c r="N192" s="70" t="s">
        <v>341</v>
      </c>
      <c r="O192" s="68" t="s">
        <v>342</v>
      </c>
      <c r="P192" s="71" t="s">
        <v>47</v>
      </c>
      <c r="Q192" s="71" t="s">
        <v>68</v>
      </c>
      <c r="R192" s="71" t="s">
        <v>49</v>
      </c>
      <c r="S192" s="28">
        <v>144875</v>
      </c>
    </row>
    <row r="193" spans="13:19" x14ac:dyDescent="0.25">
      <c r="M193" s="80" t="s">
        <v>22</v>
      </c>
      <c r="N193" s="70" t="s">
        <v>343</v>
      </c>
      <c r="O193" s="68"/>
      <c r="P193" s="71" t="s">
        <v>47</v>
      </c>
      <c r="Q193" s="71" t="s">
        <v>48</v>
      </c>
      <c r="R193" s="71" t="s">
        <v>49</v>
      </c>
      <c r="S193" s="28">
        <v>144500</v>
      </c>
    </row>
    <row r="194" spans="13:19" x14ac:dyDescent="0.25">
      <c r="M194" s="80" t="s">
        <v>22</v>
      </c>
      <c r="N194" s="70" t="s">
        <v>344</v>
      </c>
      <c r="O194" s="68" t="s">
        <v>345</v>
      </c>
      <c r="P194" s="71" t="s">
        <v>47</v>
      </c>
      <c r="Q194" s="71" t="s">
        <v>346</v>
      </c>
      <c r="R194" s="71" t="s">
        <v>49</v>
      </c>
      <c r="S194" s="28">
        <v>158000</v>
      </c>
    </row>
    <row r="195" spans="13:19" x14ac:dyDescent="0.25">
      <c r="M195" s="80" t="s">
        <v>22</v>
      </c>
      <c r="N195" s="70" t="s">
        <v>347</v>
      </c>
      <c r="O195" s="68" t="s">
        <v>348</v>
      </c>
      <c r="P195" s="71" t="s">
        <v>47</v>
      </c>
      <c r="Q195" s="71" t="s">
        <v>349</v>
      </c>
      <c r="R195" s="71" t="s">
        <v>49</v>
      </c>
      <c r="S195" s="28">
        <v>143375</v>
      </c>
    </row>
    <row r="196" spans="13:19" x14ac:dyDescent="0.25">
      <c r="M196" s="80" t="s">
        <v>22</v>
      </c>
      <c r="N196" s="70" t="s">
        <v>352</v>
      </c>
      <c r="O196" s="68" t="s">
        <v>353</v>
      </c>
      <c r="P196" s="71" t="s">
        <v>47</v>
      </c>
      <c r="Q196" s="71" t="s">
        <v>354</v>
      </c>
      <c r="R196" s="71" t="s">
        <v>49</v>
      </c>
      <c r="S196" s="28">
        <v>130625</v>
      </c>
    </row>
    <row r="197" spans="13:19" x14ac:dyDescent="0.25">
      <c r="M197" s="80" t="s">
        <v>22</v>
      </c>
      <c r="N197" s="70" t="s">
        <v>356</v>
      </c>
      <c r="O197" s="68" t="s">
        <v>357</v>
      </c>
      <c r="P197" s="71" t="s">
        <v>47</v>
      </c>
      <c r="Q197" s="71" t="s">
        <v>349</v>
      </c>
      <c r="R197" s="71" t="s">
        <v>49</v>
      </c>
      <c r="S197" s="28">
        <v>143375</v>
      </c>
    </row>
    <row r="198" spans="13:19" x14ac:dyDescent="0.25">
      <c r="M198" s="80" t="s">
        <v>22</v>
      </c>
      <c r="N198" s="70" t="s">
        <v>359</v>
      </c>
      <c r="O198" s="68" t="s">
        <v>360</v>
      </c>
      <c r="P198" s="71" t="s">
        <v>47</v>
      </c>
      <c r="Q198" s="71" t="s">
        <v>48</v>
      </c>
      <c r="R198" s="71" t="s">
        <v>49</v>
      </c>
      <c r="S198" s="28">
        <v>140750</v>
      </c>
    </row>
    <row r="199" spans="13:19" x14ac:dyDescent="0.25">
      <c r="M199" s="80" t="s">
        <v>22</v>
      </c>
      <c r="N199" s="70" t="s">
        <v>362</v>
      </c>
      <c r="O199" s="68" t="s">
        <v>363</v>
      </c>
      <c r="P199" s="71" t="s">
        <v>47</v>
      </c>
      <c r="Q199" s="71" t="s">
        <v>81</v>
      </c>
      <c r="R199" s="71" t="s">
        <v>49</v>
      </c>
      <c r="S199" s="28">
        <v>141875</v>
      </c>
    </row>
    <row r="200" spans="13:19" x14ac:dyDescent="0.25">
      <c r="M200" s="80" t="s">
        <v>22</v>
      </c>
      <c r="N200" s="70" t="s">
        <v>365</v>
      </c>
      <c r="O200" s="63" t="s">
        <v>366</v>
      </c>
      <c r="P200" s="71" t="s">
        <v>47</v>
      </c>
      <c r="Q200" s="71" t="s">
        <v>150</v>
      </c>
      <c r="R200" s="71" t="s">
        <v>49</v>
      </c>
      <c r="S200" s="28">
        <v>134375</v>
      </c>
    </row>
    <row r="201" spans="13:19" x14ac:dyDescent="0.25">
      <c r="M201" s="80" t="s">
        <v>22</v>
      </c>
      <c r="N201" s="70" t="s">
        <v>368</v>
      </c>
      <c r="O201" s="63" t="s">
        <v>369</v>
      </c>
      <c r="P201" s="71" t="s">
        <v>47</v>
      </c>
      <c r="Q201" s="71" t="s">
        <v>68</v>
      </c>
      <c r="R201" s="71" t="s">
        <v>49</v>
      </c>
      <c r="S201" s="28">
        <v>143000</v>
      </c>
    </row>
    <row r="202" spans="13:19" x14ac:dyDescent="0.25">
      <c r="M202" s="80" t="s">
        <v>22</v>
      </c>
      <c r="N202" s="70" t="s">
        <v>371</v>
      </c>
      <c r="O202" t="s">
        <v>372</v>
      </c>
      <c r="P202" s="71" t="s">
        <v>47</v>
      </c>
      <c r="Q202" s="71" t="s">
        <v>74</v>
      </c>
      <c r="R202" s="71" t="s">
        <v>49</v>
      </c>
      <c r="S202" s="28">
        <v>152000</v>
      </c>
    </row>
    <row r="203" spans="13:19" x14ac:dyDescent="0.25">
      <c r="M203" s="80" t="s">
        <v>22</v>
      </c>
      <c r="N203" s="70" t="s">
        <v>374</v>
      </c>
      <c r="O203" t="s">
        <v>375</v>
      </c>
      <c r="P203" s="71" t="s">
        <v>47</v>
      </c>
      <c r="Q203" s="71" t="s">
        <v>376</v>
      </c>
      <c r="R203" s="71" t="s">
        <v>49</v>
      </c>
      <c r="S203" s="28">
        <v>143375</v>
      </c>
    </row>
    <row r="204" spans="13:19" x14ac:dyDescent="0.25">
      <c r="M204" s="80" t="s">
        <v>22</v>
      </c>
      <c r="N204" s="70" t="s">
        <v>378</v>
      </c>
      <c r="O204" s="68" t="s">
        <v>379</v>
      </c>
      <c r="P204" s="71" t="s">
        <v>47</v>
      </c>
      <c r="Q204" s="71" t="s">
        <v>138</v>
      </c>
      <c r="R204" s="71" t="s">
        <v>49</v>
      </c>
      <c r="S204" s="28">
        <v>133625</v>
      </c>
    </row>
    <row r="205" spans="13:19" x14ac:dyDescent="0.25">
      <c r="M205" s="80" t="s">
        <v>22</v>
      </c>
      <c r="N205" s="70" t="s">
        <v>381</v>
      </c>
      <c r="O205" s="68"/>
      <c r="P205" s="71" t="s">
        <v>47</v>
      </c>
      <c r="Q205" s="71" t="s">
        <v>382</v>
      </c>
      <c r="R205" s="71" t="s">
        <v>49</v>
      </c>
      <c r="S205" s="28">
        <v>132875</v>
      </c>
    </row>
    <row r="206" spans="13:19" x14ac:dyDescent="0.25">
      <c r="M206" s="80" t="s">
        <v>22</v>
      </c>
      <c r="N206" s="70" t="s">
        <v>384</v>
      </c>
      <c r="O206" s="68"/>
      <c r="P206" s="71" t="s">
        <v>47</v>
      </c>
      <c r="Q206" s="71" t="s">
        <v>101</v>
      </c>
      <c r="R206" s="71" t="s">
        <v>49</v>
      </c>
      <c r="S206" s="28">
        <v>132875</v>
      </c>
    </row>
    <row r="207" spans="13:19" x14ac:dyDescent="0.25">
      <c r="M207" s="80" t="s">
        <v>22</v>
      </c>
      <c r="N207" s="70" t="s">
        <v>386</v>
      </c>
      <c r="O207" s="68"/>
      <c r="P207" s="71" t="s">
        <v>47</v>
      </c>
      <c r="Q207" s="71" t="s">
        <v>48</v>
      </c>
      <c r="R207" s="71" t="s">
        <v>49</v>
      </c>
      <c r="S207" s="28">
        <v>141875</v>
      </c>
    </row>
    <row r="208" spans="13:19" x14ac:dyDescent="0.25">
      <c r="M208" s="80" t="s">
        <v>22</v>
      </c>
      <c r="N208" s="70" t="s">
        <v>388</v>
      </c>
      <c r="O208" s="68"/>
      <c r="P208" s="71" t="s">
        <v>47</v>
      </c>
      <c r="Q208" s="71" t="s">
        <v>48</v>
      </c>
      <c r="R208" s="71" t="s">
        <v>49</v>
      </c>
      <c r="S208" s="28">
        <v>138500</v>
      </c>
    </row>
    <row r="209" spans="13:19" x14ac:dyDescent="0.25">
      <c r="M209" s="80" t="s">
        <v>22</v>
      </c>
      <c r="N209" s="70" t="s">
        <v>390</v>
      </c>
      <c r="O209" s="68"/>
      <c r="P209" s="71" t="s">
        <v>47</v>
      </c>
      <c r="Q209" s="71" t="s">
        <v>48</v>
      </c>
      <c r="R209" s="71" t="s">
        <v>49</v>
      </c>
      <c r="S209" s="28">
        <v>139625</v>
      </c>
    </row>
    <row r="210" spans="13:19" x14ac:dyDescent="0.25">
      <c r="M210" s="80" t="s">
        <v>22</v>
      </c>
      <c r="N210" s="70" t="s">
        <v>392</v>
      </c>
      <c r="O210" s="68"/>
      <c r="P210" s="71" t="s">
        <v>47</v>
      </c>
      <c r="Q210" s="71" t="s">
        <v>48</v>
      </c>
      <c r="R210" s="71" t="s">
        <v>49</v>
      </c>
      <c r="S210" s="28">
        <v>140000</v>
      </c>
    </row>
    <row r="211" spans="13:19" x14ac:dyDescent="0.25">
      <c r="M211" s="80" t="s">
        <v>22</v>
      </c>
      <c r="N211" s="70" t="s">
        <v>394</v>
      </c>
      <c r="O211" s="68"/>
      <c r="P211" s="71" t="s">
        <v>47</v>
      </c>
      <c r="Q211" s="71" t="s">
        <v>291</v>
      </c>
      <c r="R211" s="71" t="s">
        <v>49</v>
      </c>
      <c r="S211" s="28">
        <v>146375</v>
      </c>
    </row>
    <row r="212" spans="13:19" x14ac:dyDescent="0.25">
      <c r="M212" s="80" t="s">
        <v>22</v>
      </c>
      <c r="N212" s="70" t="s">
        <v>396</v>
      </c>
      <c r="O212" s="68"/>
      <c r="P212" s="71" t="s">
        <v>47</v>
      </c>
      <c r="Q212" s="71" t="s">
        <v>48</v>
      </c>
      <c r="R212" s="71" t="s">
        <v>49</v>
      </c>
      <c r="S212" s="28">
        <v>142250</v>
      </c>
    </row>
    <row r="213" spans="13:19" x14ac:dyDescent="0.25">
      <c r="M213" s="80" t="s">
        <v>22</v>
      </c>
      <c r="N213" s="70" t="s">
        <v>398</v>
      </c>
      <c r="O213" s="68"/>
      <c r="P213" s="71" t="s">
        <v>47</v>
      </c>
      <c r="Q213" s="71" t="s">
        <v>376</v>
      </c>
      <c r="R213" s="71" t="s">
        <v>49</v>
      </c>
      <c r="S213" s="28">
        <v>141875</v>
      </c>
    </row>
    <row r="214" spans="13:19" x14ac:dyDescent="0.25">
      <c r="M214" s="80" t="s">
        <v>22</v>
      </c>
      <c r="N214" s="70" t="s">
        <v>400</v>
      </c>
      <c r="O214" s="68"/>
      <c r="P214" s="71" t="s">
        <v>47</v>
      </c>
      <c r="Q214" s="71" t="s">
        <v>197</v>
      </c>
      <c r="R214" s="71" t="s">
        <v>49</v>
      </c>
      <c r="S214" s="28">
        <v>140000</v>
      </c>
    </row>
    <row r="215" spans="13:19" x14ac:dyDescent="0.25">
      <c r="M215" s="80" t="s">
        <v>22</v>
      </c>
      <c r="N215" s="70" t="s">
        <v>402</v>
      </c>
      <c r="O215" s="68"/>
      <c r="P215" s="71" t="s">
        <v>47</v>
      </c>
      <c r="Q215" s="71" t="s">
        <v>202</v>
      </c>
      <c r="R215" s="71" t="s">
        <v>49</v>
      </c>
      <c r="S215" s="28">
        <v>146125</v>
      </c>
    </row>
    <row r="216" spans="13:19" x14ac:dyDescent="0.25">
      <c r="M216" s="80" t="s">
        <v>22</v>
      </c>
      <c r="N216" s="70" t="s">
        <v>404</v>
      </c>
      <c r="O216" s="68"/>
      <c r="P216" s="71" t="s">
        <v>405</v>
      </c>
      <c r="Q216" s="71" t="s">
        <v>406</v>
      </c>
      <c r="R216" s="71" t="s">
        <v>49</v>
      </c>
      <c r="S216" s="28">
        <v>173000</v>
      </c>
    </row>
    <row r="217" spans="13:19" x14ac:dyDescent="0.25">
      <c r="M217" s="80" t="s">
        <v>22</v>
      </c>
      <c r="N217" s="70" t="s">
        <v>408</v>
      </c>
      <c r="O217" s="68"/>
      <c r="P217" s="71" t="s">
        <v>405</v>
      </c>
      <c r="Q217" s="71" t="s">
        <v>409</v>
      </c>
      <c r="R217" s="71" t="s">
        <v>49</v>
      </c>
      <c r="S217" s="28">
        <v>226250</v>
      </c>
    </row>
    <row r="218" spans="13:19" x14ac:dyDescent="0.25">
      <c r="M218" s="80" t="s">
        <v>22</v>
      </c>
      <c r="N218" s="70" t="s">
        <v>411</v>
      </c>
      <c r="O218" s="68"/>
      <c r="P218" s="71" t="s">
        <v>405</v>
      </c>
      <c r="Q218" s="71" t="s">
        <v>48</v>
      </c>
      <c r="R218" s="71" t="s">
        <v>49</v>
      </c>
      <c r="S218" s="28">
        <v>168125</v>
      </c>
    </row>
    <row r="219" spans="13:19" x14ac:dyDescent="0.25">
      <c r="M219" s="80" t="s">
        <v>22</v>
      </c>
      <c r="N219" s="70" t="s">
        <v>413</v>
      </c>
      <c r="O219" s="68"/>
      <c r="P219" s="71" t="s">
        <v>405</v>
      </c>
      <c r="Q219" s="71" t="s">
        <v>48</v>
      </c>
      <c r="R219" s="71" t="s">
        <v>49</v>
      </c>
      <c r="S219" s="28">
        <v>168125</v>
      </c>
    </row>
    <row r="220" spans="13:19" x14ac:dyDescent="0.25">
      <c r="M220" s="80" t="s">
        <v>22</v>
      </c>
      <c r="N220" s="70" t="s">
        <v>415</v>
      </c>
      <c r="O220" s="68"/>
      <c r="P220" s="71" t="s">
        <v>405</v>
      </c>
      <c r="Q220" s="71" t="s">
        <v>216</v>
      </c>
      <c r="R220" s="71" t="s">
        <v>49</v>
      </c>
      <c r="S220" s="28">
        <v>174500</v>
      </c>
    </row>
    <row r="221" spans="13:19" x14ac:dyDescent="0.25">
      <c r="M221" s="80" t="s">
        <v>22</v>
      </c>
      <c r="N221" s="70" t="s">
        <v>417</v>
      </c>
      <c r="O221" s="68"/>
      <c r="P221" s="71" t="s">
        <v>405</v>
      </c>
      <c r="Q221" s="71" t="s">
        <v>418</v>
      </c>
      <c r="R221" s="71" t="s">
        <v>49</v>
      </c>
      <c r="S221" s="28">
        <v>173750</v>
      </c>
    </row>
    <row r="222" spans="13:19" x14ac:dyDescent="0.25">
      <c r="M222" s="80" t="s">
        <v>22</v>
      </c>
      <c r="N222" s="70" t="s">
        <v>420</v>
      </c>
      <c r="O222" s="68"/>
      <c r="P222" s="71" t="s">
        <v>405</v>
      </c>
      <c r="Q222" s="71" t="s">
        <v>338</v>
      </c>
      <c r="R222" s="71" t="s">
        <v>49</v>
      </c>
      <c r="S222" s="28">
        <v>179375</v>
      </c>
    </row>
    <row r="223" spans="13:19" x14ac:dyDescent="0.25">
      <c r="M223" s="80" t="s">
        <v>22</v>
      </c>
      <c r="N223" s="70" t="s">
        <v>422</v>
      </c>
      <c r="O223" s="68"/>
      <c r="P223" s="71" t="s">
        <v>405</v>
      </c>
      <c r="Q223" s="71" t="s">
        <v>216</v>
      </c>
      <c r="R223" s="71" t="s">
        <v>49</v>
      </c>
      <c r="S223" s="28">
        <v>172625</v>
      </c>
    </row>
    <row r="224" spans="13:19" x14ac:dyDescent="0.25">
      <c r="M224" s="80" t="s">
        <v>22</v>
      </c>
      <c r="N224" s="70" t="s">
        <v>424</v>
      </c>
      <c r="O224" s="68"/>
      <c r="P224" s="71" t="s">
        <v>405</v>
      </c>
      <c r="Q224" s="71" t="s">
        <v>425</v>
      </c>
      <c r="R224" s="71" t="s">
        <v>49</v>
      </c>
      <c r="S224" s="28">
        <v>184625</v>
      </c>
    </row>
    <row r="225" spans="13:19" x14ac:dyDescent="0.25">
      <c r="M225" s="80" t="s">
        <v>22</v>
      </c>
      <c r="N225" s="70" t="s">
        <v>427</v>
      </c>
      <c r="O225" s="68"/>
      <c r="P225" s="71" t="s">
        <v>405</v>
      </c>
      <c r="Q225" s="71" t="s">
        <v>428</v>
      </c>
      <c r="R225" s="71" t="s">
        <v>49</v>
      </c>
      <c r="S225" s="28">
        <v>169250</v>
      </c>
    </row>
    <row r="226" spans="13:19" x14ac:dyDescent="0.25">
      <c r="M226" s="80" t="s">
        <v>22</v>
      </c>
      <c r="N226" s="70" t="s">
        <v>430</v>
      </c>
      <c r="O226" s="68"/>
      <c r="P226" s="71" t="s">
        <v>405</v>
      </c>
      <c r="Q226" s="71" t="s">
        <v>431</v>
      </c>
      <c r="R226" s="71" t="s">
        <v>49</v>
      </c>
      <c r="S226" s="28">
        <v>190250</v>
      </c>
    </row>
    <row r="227" spans="13:19" x14ac:dyDescent="0.25">
      <c r="M227" s="80" t="s">
        <v>22</v>
      </c>
      <c r="N227" s="70" t="s">
        <v>433</v>
      </c>
      <c r="O227" s="68"/>
      <c r="P227" s="71" t="s">
        <v>405</v>
      </c>
      <c r="Q227" s="71" t="s">
        <v>425</v>
      </c>
      <c r="R227" s="71" t="s">
        <v>49</v>
      </c>
      <c r="S227" s="28">
        <v>190250</v>
      </c>
    </row>
    <row r="228" spans="13:19" x14ac:dyDescent="0.25">
      <c r="M228" s="80" t="s">
        <v>22</v>
      </c>
      <c r="N228" s="70" t="s">
        <v>435</v>
      </c>
      <c r="O228" s="68"/>
      <c r="P228" s="71" t="s">
        <v>405</v>
      </c>
      <c r="Q228" s="71" t="s">
        <v>436</v>
      </c>
      <c r="R228" s="71" t="s">
        <v>49</v>
      </c>
      <c r="S228" s="28">
        <v>181625</v>
      </c>
    </row>
    <row r="229" spans="13:19" x14ac:dyDescent="0.25">
      <c r="M229" s="80" t="s">
        <v>22</v>
      </c>
      <c r="N229" s="70" t="s">
        <v>438</v>
      </c>
      <c r="O229" s="68"/>
      <c r="P229" s="71" t="s">
        <v>405</v>
      </c>
      <c r="Q229" s="71" t="s">
        <v>439</v>
      </c>
      <c r="R229" s="71" t="s">
        <v>49</v>
      </c>
      <c r="S229" s="28">
        <v>180875</v>
      </c>
    </row>
    <row r="230" spans="13:19" x14ac:dyDescent="0.25">
      <c r="M230" s="80" t="s">
        <v>22</v>
      </c>
      <c r="N230" s="70" t="s">
        <v>441</v>
      </c>
      <c r="O230" s="68"/>
      <c r="P230" s="71" t="s">
        <v>405</v>
      </c>
      <c r="Q230" s="71" t="s">
        <v>48</v>
      </c>
      <c r="R230" s="71" t="s">
        <v>49</v>
      </c>
      <c r="S230" s="28">
        <v>162875</v>
      </c>
    </row>
    <row r="231" spans="13:19" x14ac:dyDescent="0.25">
      <c r="M231" s="80" t="s">
        <v>22</v>
      </c>
      <c r="N231" s="70" t="s">
        <v>443</v>
      </c>
      <c r="O231" s="68"/>
      <c r="P231" s="71" t="s">
        <v>405</v>
      </c>
      <c r="Q231" s="71" t="s">
        <v>436</v>
      </c>
      <c r="R231" s="71" t="s">
        <v>49</v>
      </c>
      <c r="S231" s="28">
        <v>214625</v>
      </c>
    </row>
    <row r="232" spans="13:19" x14ac:dyDescent="0.25">
      <c r="M232" s="80" t="s">
        <v>22</v>
      </c>
      <c r="N232" s="70" t="s">
        <v>445</v>
      </c>
      <c r="O232" s="68"/>
      <c r="P232" s="71" t="s">
        <v>405</v>
      </c>
      <c r="Q232" s="71" t="s">
        <v>446</v>
      </c>
      <c r="R232" s="71" t="s">
        <v>49</v>
      </c>
      <c r="S232" s="28">
        <v>171875</v>
      </c>
    </row>
    <row r="233" spans="13:19" x14ac:dyDescent="0.25">
      <c r="M233" s="80" t="s">
        <v>22</v>
      </c>
      <c r="N233" s="70" t="s">
        <v>448</v>
      </c>
      <c r="O233" s="68"/>
      <c r="P233" s="71" t="s">
        <v>405</v>
      </c>
      <c r="Q233" s="71" t="s">
        <v>449</v>
      </c>
      <c r="R233" s="71" t="s">
        <v>49</v>
      </c>
      <c r="S233" s="28">
        <v>180125</v>
      </c>
    </row>
    <row r="234" spans="13:19" x14ac:dyDescent="0.25">
      <c r="M234" s="80" t="s">
        <v>22</v>
      </c>
      <c r="N234" s="70" t="s">
        <v>451</v>
      </c>
      <c r="O234" s="68"/>
      <c r="P234" s="71" t="s">
        <v>405</v>
      </c>
      <c r="Q234" s="71" t="s">
        <v>452</v>
      </c>
      <c r="R234" s="71" t="s">
        <v>49</v>
      </c>
      <c r="S234" s="28">
        <v>164000</v>
      </c>
    </row>
    <row r="235" spans="13:19" x14ac:dyDescent="0.25">
      <c r="M235" s="80" t="s">
        <v>22</v>
      </c>
      <c r="N235" s="70" t="s">
        <v>454</v>
      </c>
      <c r="O235" s="68"/>
      <c r="P235" s="71" t="s">
        <v>405</v>
      </c>
      <c r="Q235" s="71" t="s">
        <v>436</v>
      </c>
      <c r="R235" s="71" t="s">
        <v>49</v>
      </c>
      <c r="S235" s="28">
        <v>203750</v>
      </c>
    </row>
    <row r="236" spans="13:19" x14ac:dyDescent="0.25">
      <c r="M236" s="80" t="s">
        <v>22</v>
      </c>
      <c r="N236" s="77" t="s">
        <v>456</v>
      </c>
      <c r="O236" s="68"/>
      <c r="P236" s="78" t="s">
        <v>405</v>
      </c>
      <c r="Q236" s="78" t="s">
        <v>48</v>
      </c>
      <c r="R236" s="78" t="s">
        <v>49</v>
      </c>
      <c r="S236" s="32">
        <v>168125</v>
      </c>
    </row>
    <row r="237" spans="13:19" x14ac:dyDescent="0.25">
      <c r="M237" s="80" t="s">
        <v>22</v>
      </c>
      <c r="N237" s="70" t="s">
        <v>458</v>
      </c>
      <c r="O237" s="68"/>
      <c r="P237" s="71" t="s">
        <v>405</v>
      </c>
      <c r="Q237" s="71" t="s">
        <v>349</v>
      </c>
      <c r="R237" s="71" t="s">
        <v>49</v>
      </c>
      <c r="S237" s="28">
        <v>167000</v>
      </c>
    </row>
    <row r="238" spans="13:19" x14ac:dyDescent="0.25">
      <c r="M238" s="80" t="s">
        <v>22</v>
      </c>
      <c r="N238" s="70" t="s">
        <v>460</v>
      </c>
      <c r="O238" s="68"/>
      <c r="P238" s="71" t="s">
        <v>405</v>
      </c>
      <c r="Q238" s="71" t="s">
        <v>446</v>
      </c>
      <c r="R238" s="71" t="s">
        <v>49</v>
      </c>
      <c r="S238" s="28">
        <v>174500</v>
      </c>
    </row>
    <row r="239" spans="13:19" x14ac:dyDescent="0.25">
      <c r="M239" s="80" t="s">
        <v>22</v>
      </c>
      <c r="N239" s="70" t="s">
        <v>462</v>
      </c>
      <c r="O239" s="68"/>
      <c r="P239" s="71" t="s">
        <v>405</v>
      </c>
      <c r="Q239" s="71" t="s">
        <v>463</v>
      </c>
      <c r="R239" s="71" t="s">
        <v>49</v>
      </c>
      <c r="S239" s="28">
        <v>165500</v>
      </c>
    </row>
    <row r="240" spans="13:19" x14ac:dyDescent="0.25">
      <c r="M240" s="80" t="s">
        <v>22</v>
      </c>
      <c r="N240" s="70" t="s">
        <v>465</v>
      </c>
      <c r="O240" s="68"/>
      <c r="P240" s="71" t="s">
        <v>405</v>
      </c>
      <c r="Q240" s="71" t="s">
        <v>346</v>
      </c>
      <c r="R240" s="71" t="s">
        <v>49</v>
      </c>
      <c r="S240" s="28">
        <v>211250</v>
      </c>
    </row>
    <row r="241" spans="13:19" x14ac:dyDescent="0.25">
      <c r="M241" s="80" t="s">
        <v>22</v>
      </c>
      <c r="N241" s="70" t="s">
        <v>467</v>
      </c>
      <c r="O241" s="68"/>
      <c r="P241" s="71" t="s">
        <v>405</v>
      </c>
      <c r="Q241" s="71" t="s">
        <v>468</v>
      </c>
      <c r="R241" s="71" t="s">
        <v>49</v>
      </c>
      <c r="S241" s="28">
        <v>180875</v>
      </c>
    </row>
    <row r="242" spans="13:19" x14ac:dyDescent="0.25">
      <c r="M242" s="80" t="s">
        <v>22</v>
      </c>
      <c r="N242" s="70" t="s">
        <v>470</v>
      </c>
      <c r="O242" s="68"/>
      <c r="P242" s="71" t="s">
        <v>405</v>
      </c>
      <c r="Q242" s="71" t="s">
        <v>471</v>
      </c>
      <c r="R242" s="71" t="s">
        <v>49</v>
      </c>
      <c r="S242" s="28">
        <v>168125</v>
      </c>
    </row>
    <row r="243" spans="13:19" x14ac:dyDescent="0.25">
      <c r="M243" s="80" t="s">
        <v>22</v>
      </c>
      <c r="N243" s="70" t="s">
        <v>473</v>
      </c>
      <c r="O243" s="68"/>
      <c r="P243" s="71" t="s">
        <v>474</v>
      </c>
      <c r="Q243" s="71" t="s">
        <v>475</v>
      </c>
      <c r="R243" s="71" t="s">
        <v>476</v>
      </c>
      <c r="S243" s="28">
        <v>287500</v>
      </c>
    </row>
    <row r="244" spans="13:19" x14ac:dyDescent="0.25">
      <c r="M244" s="80" t="s">
        <v>22</v>
      </c>
      <c r="N244" s="70" t="s">
        <v>478</v>
      </c>
      <c r="O244" s="68"/>
      <c r="P244" s="71" t="s">
        <v>474</v>
      </c>
      <c r="Q244" s="71" t="s">
        <v>476</v>
      </c>
      <c r="R244" s="71" t="s">
        <v>49</v>
      </c>
      <c r="S244" s="28">
        <v>267250</v>
      </c>
    </row>
    <row r="245" spans="13:19" x14ac:dyDescent="0.25">
      <c r="M245" s="80" t="s">
        <v>22</v>
      </c>
      <c r="N245" s="70" t="s">
        <v>480</v>
      </c>
      <c r="O245" s="68"/>
      <c r="P245" s="71" t="s">
        <v>474</v>
      </c>
      <c r="Q245" s="71" t="s">
        <v>481</v>
      </c>
      <c r="R245" s="71" t="s">
        <v>476</v>
      </c>
      <c r="S245" s="28">
        <v>308875</v>
      </c>
    </row>
    <row r="246" spans="13:19" x14ac:dyDescent="0.25">
      <c r="M246" s="80" t="s">
        <v>22</v>
      </c>
      <c r="N246" s="70" t="s">
        <v>483</v>
      </c>
      <c r="O246" s="68"/>
      <c r="P246" s="71" t="s">
        <v>474</v>
      </c>
      <c r="Q246" s="71" t="s">
        <v>484</v>
      </c>
      <c r="R246" s="71" t="s">
        <v>476</v>
      </c>
      <c r="S246" s="28">
        <v>263875</v>
      </c>
    </row>
    <row r="247" spans="13:19" x14ac:dyDescent="0.25">
      <c r="M247" s="80" t="s">
        <v>22</v>
      </c>
      <c r="N247" s="70" t="s">
        <v>486</v>
      </c>
      <c r="O247" s="68"/>
      <c r="P247" s="71" t="s">
        <v>474</v>
      </c>
      <c r="Q247" s="71" t="s">
        <v>481</v>
      </c>
      <c r="R247" s="71" t="s">
        <v>476</v>
      </c>
      <c r="S247" s="28">
        <v>283000</v>
      </c>
    </row>
    <row r="248" spans="13:19" x14ac:dyDescent="0.25">
      <c r="M248" s="80" t="s">
        <v>22</v>
      </c>
      <c r="N248" s="70" t="s">
        <v>488</v>
      </c>
      <c r="O248" s="68"/>
      <c r="P248" s="71" t="s">
        <v>474</v>
      </c>
      <c r="Q248" s="71" t="s">
        <v>489</v>
      </c>
      <c r="R248" s="71" t="s">
        <v>476</v>
      </c>
      <c r="S248" s="28">
        <v>273625</v>
      </c>
    </row>
    <row r="249" spans="13:19" x14ac:dyDescent="0.25">
      <c r="M249" s="80" t="s">
        <v>22</v>
      </c>
      <c r="N249" s="70" t="s">
        <v>491</v>
      </c>
      <c r="O249" s="68"/>
      <c r="P249" s="71" t="s">
        <v>474</v>
      </c>
      <c r="Q249" s="71" t="s">
        <v>492</v>
      </c>
      <c r="R249" s="71" t="s">
        <v>493</v>
      </c>
      <c r="S249" s="28">
        <v>328000</v>
      </c>
    </row>
    <row r="250" spans="13:19" x14ac:dyDescent="0.25">
      <c r="M250" s="80" t="s">
        <v>22</v>
      </c>
      <c r="N250" s="70" t="s">
        <v>495</v>
      </c>
      <c r="O250" s="68"/>
      <c r="P250" s="71" t="s">
        <v>474</v>
      </c>
      <c r="Q250" s="71" t="s">
        <v>496</v>
      </c>
      <c r="R250" s="71" t="s">
        <v>476</v>
      </c>
      <c r="S250" s="28">
        <v>271375</v>
      </c>
    </row>
    <row r="251" spans="13:19" x14ac:dyDescent="0.25">
      <c r="M251" s="80" t="s">
        <v>22</v>
      </c>
      <c r="N251" s="70" t="s">
        <v>498</v>
      </c>
      <c r="O251" s="68"/>
      <c r="P251" s="71" t="s">
        <v>474</v>
      </c>
      <c r="Q251" s="71" t="s">
        <v>499</v>
      </c>
      <c r="R251" s="71" t="s">
        <v>493</v>
      </c>
      <c r="S251" s="28">
        <v>239500</v>
      </c>
    </row>
    <row r="252" spans="13:19" x14ac:dyDescent="0.25">
      <c r="M252" s="80" t="s">
        <v>22</v>
      </c>
      <c r="N252" s="70" t="s">
        <v>501</v>
      </c>
      <c r="O252" s="68"/>
      <c r="P252" s="71" t="s">
        <v>474</v>
      </c>
      <c r="Q252" s="71" t="s">
        <v>502</v>
      </c>
      <c r="R252" s="71" t="s">
        <v>493</v>
      </c>
      <c r="S252" s="28">
        <v>224875</v>
      </c>
    </row>
    <row r="253" spans="13:19" x14ac:dyDescent="0.25">
      <c r="M253" s="80" t="s">
        <v>22</v>
      </c>
      <c r="N253" s="70" t="s">
        <v>504</v>
      </c>
      <c r="O253" s="68"/>
      <c r="P253" s="71" t="s">
        <v>474</v>
      </c>
      <c r="Q253" s="71" t="s">
        <v>505</v>
      </c>
      <c r="R253" s="71" t="s">
        <v>493</v>
      </c>
      <c r="S253" s="28">
        <v>290500</v>
      </c>
    </row>
    <row r="254" spans="13:19" x14ac:dyDescent="0.25">
      <c r="M254" s="80" t="s">
        <v>22</v>
      </c>
      <c r="N254" s="70" t="s">
        <v>507</v>
      </c>
      <c r="O254" s="68"/>
      <c r="P254" s="71" t="s">
        <v>474</v>
      </c>
      <c r="Q254" s="71" t="s">
        <v>508</v>
      </c>
      <c r="R254" s="71" t="s">
        <v>476</v>
      </c>
      <c r="S254" s="28">
        <v>264250</v>
      </c>
    </row>
    <row r="255" spans="13:19" x14ac:dyDescent="0.25">
      <c r="M255" s="80" t="s">
        <v>22</v>
      </c>
      <c r="N255" s="70" t="s">
        <v>510</v>
      </c>
      <c r="O255" s="68"/>
      <c r="P255" s="71" t="s">
        <v>474</v>
      </c>
      <c r="Q255" s="71" t="s">
        <v>481</v>
      </c>
      <c r="R255" s="71" t="s">
        <v>476</v>
      </c>
      <c r="S255" s="28">
        <v>272125</v>
      </c>
    </row>
    <row r="256" spans="13:19" x14ac:dyDescent="0.25">
      <c r="M256" s="80" t="s">
        <v>22</v>
      </c>
      <c r="N256" s="70" t="s">
        <v>512</v>
      </c>
      <c r="O256" s="68"/>
      <c r="P256" s="71" t="s">
        <v>474</v>
      </c>
      <c r="Q256" s="71" t="s">
        <v>476</v>
      </c>
      <c r="R256" s="71" t="s">
        <v>476</v>
      </c>
      <c r="S256" s="28">
        <v>283000</v>
      </c>
    </row>
    <row r="257" spans="13:19" x14ac:dyDescent="0.25">
      <c r="M257" s="80" t="s">
        <v>22</v>
      </c>
      <c r="N257" s="70" t="s">
        <v>513</v>
      </c>
      <c r="O257" s="68"/>
      <c r="P257" s="71" t="s">
        <v>474</v>
      </c>
      <c r="Q257" s="71" t="s">
        <v>481</v>
      </c>
      <c r="R257" s="71" t="s">
        <v>476</v>
      </c>
      <c r="S257" s="28">
        <v>286750</v>
      </c>
    </row>
    <row r="258" spans="13:19" x14ac:dyDescent="0.25">
      <c r="M258" s="80" t="s">
        <v>21</v>
      </c>
      <c r="N258" s="70" t="s">
        <v>46</v>
      </c>
      <c r="O258" s="68"/>
      <c r="P258" s="71" t="s">
        <v>47</v>
      </c>
      <c r="Q258" s="71" t="s">
        <v>48</v>
      </c>
      <c r="R258" s="71" t="s">
        <v>49</v>
      </c>
      <c r="S258" s="29">
        <v>177500</v>
      </c>
    </row>
    <row r="259" spans="13:19" x14ac:dyDescent="0.25">
      <c r="M259" s="80" t="s">
        <v>21</v>
      </c>
      <c r="N259" s="70" t="s">
        <v>55</v>
      </c>
      <c r="O259" s="68" t="s">
        <v>56</v>
      </c>
      <c r="P259" s="71" t="s">
        <v>47</v>
      </c>
      <c r="Q259" s="71" t="s">
        <v>48</v>
      </c>
      <c r="R259" s="71" t="s">
        <v>49</v>
      </c>
      <c r="S259" s="29">
        <v>177500</v>
      </c>
    </row>
    <row r="260" spans="13:19" x14ac:dyDescent="0.25">
      <c r="M260" s="80" t="s">
        <v>21</v>
      </c>
      <c r="N260" s="70" t="s">
        <v>61</v>
      </c>
      <c r="O260" s="68" t="s">
        <v>62</v>
      </c>
      <c r="P260" s="71" t="s">
        <v>47</v>
      </c>
      <c r="Q260" s="71" t="s">
        <v>48</v>
      </c>
      <c r="R260" s="71" t="s">
        <v>49</v>
      </c>
      <c r="S260" s="29">
        <v>181250</v>
      </c>
    </row>
    <row r="261" spans="13:19" x14ac:dyDescent="0.25">
      <c r="M261" s="80" t="s">
        <v>21</v>
      </c>
      <c r="N261" s="70" t="s">
        <v>20</v>
      </c>
      <c r="O261" s="68" t="s">
        <v>67</v>
      </c>
      <c r="P261" s="71" t="s">
        <v>47</v>
      </c>
      <c r="Q261" s="71" t="s">
        <v>68</v>
      </c>
      <c r="R261" s="71" t="s">
        <v>49</v>
      </c>
      <c r="S261" s="29">
        <v>185000</v>
      </c>
    </row>
    <row r="262" spans="13:19" x14ac:dyDescent="0.25">
      <c r="M262" s="80" t="s">
        <v>21</v>
      </c>
      <c r="N262" s="70" t="s">
        <v>25</v>
      </c>
      <c r="O262" s="68" t="s">
        <v>73</v>
      </c>
      <c r="P262" s="71" t="s">
        <v>47</v>
      </c>
      <c r="Q262" s="71" t="s">
        <v>74</v>
      </c>
      <c r="R262" s="71" t="s">
        <v>49</v>
      </c>
      <c r="S262" s="29">
        <v>207500</v>
      </c>
    </row>
    <row r="263" spans="13:19" x14ac:dyDescent="0.25">
      <c r="M263" s="80" t="s">
        <v>21</v>
      </c>
      <c r="N263" s="70" t="s">
        <v>79</v>
      </c>
      <c r="O263" s="68" t="s">
        <v>80</v>
      </c>
      <c r="P263" s="71" t="s">
        <v>47</v>
      </c>
      <c r="Q263" s="71" t="s">
        <v>81</v>
      </c>
      <c r="R263" s="71" t="s">
        <v>49</v>
      </c>
      <c r="S263" s="29">
        <v>167750</v>
      </c>
    </row>
    <row r="264" spans="13:19" x14ac:dyDescent="0.25">
      <c r="M264" s="80" t="s">
        <v>21</v>
      </c>
      <c r="N264" s="70" t="s">
        <v>86</v>
      </c>
      <c r="O264" s="68" t="s">
        <v>87</v>
      </c>
      <c r="P264" s="71" t="s">
        <v>47</v>
      </c>
      <c r="Q264" s="71" t="s">
        <v>88</v>
      </c>
      <c r="R264" s="71" t="s">
        <v>49</v>
      </c>
      <c r="S264" s="29">
        <v>181250</v>
      </c>
    </row>
    <row r="265" spans="13:19" x14ac:dyDescent="0.25">
      <c r="M265" s="80" t="s">
        <v>21</v>
      </c>
      <c r="N265" s="70" t="s">
        <v>93</v>
      </c>
      <c r="O265" s="68" t="s">
        <v>94</v>
      </c>
      <c r="P265" s="71" t="s">
        <v>47</v>
      </c>
      <c r="Q265" s="71" t="s">
        <v>95</v>
      </c>
      <c r="R265" s="71" t="s">
        <v>49</v>
      </c>
      <c r="S265" s="29">
        <v>186500</v>
      </c>
    </row>
    <row r="266" spans="13:19" x14ac:dyDescent="0.25">
      <c r="M266" s="80" t="s">
        <v>21</v>
      </c>
      <c r="N266" s="70" t="s">
        <v>24</v>
      </c>
      <c r="O266" s="68" t="s">
        <v>100</v>
      </c>
      <c r="P266" s="71" t="s">
        <v>47</v>
      </c>
      <c r="Q266" s="71" t="s">
        <v>101</v>
      </c>
      <c r="R266" s="71" t="s">
        <v>49</v>
      </c>
      <c r="S266" s="29">
        <v>164000</v>
      </c>
    </row>
    <row r="267" spans="13:19" x14ac:dyDescent="0.25">
      <c r="M267" s="80" t="s">
        <v>21</v>
      </c>
      <c r="N267" s="70" t="s">
        <v>106</v>
      </c>
      <c r="O267" s="68" t="s">
        <v>107</v>
      </c>
      <c r="P267" s="71" t="s">
        <v>47</v>
      </c>
      <c r="Q267" s="71" t="s">
        <v>95</v>
      </c>
      <c r="R267" s="71" t="s">
        <v>49</v>
      </c>
      <c r="S267" s="29">
        <v>188750</v>
      </c>
    </row>
    <row r="268" spans="13:19" x14ac:dyDescent="0.25">
      <c r="M268" s="80" t="s">
        <v>21</v>
      </c>
      <c r="N268" s="70" t="s">
        <v>112</v>
      </c>
      <c r="O268" s="68" t="s">
        <v>113</v>
      </c>
      <c r="P268" s="71" t="s">
        <v>47</v>
      </c>
      <c r="Q268" s="71" t="s">
        <v>101</v>
      </c>
      <c r="R268" s="71" t="s">
        <v>49</v>
      </c>
      <c r="S268" s="29">
        <v>162500</v>
      </c>
    </row>
    <row r="269" spans="13:19" x14ac:dyDescent="0.25">
      <c r="M269" s="80" t="s">
        <v>21</v>
      </c>
      <c r="N269" s="70" t="s">
        <v>118</v>
      </c>
      <c r="O269" s="68" t="s">
        <v>119</v>
      </c>
      <c r="P269" s="71" t="s">
        <v>47</v>
      </c>
      <c r="Q269" s="71" t="s">
        <v>120</v>
      </c>
      <c r="R269" s="71" t="s">
        <v>49</v>
      </c>
      <c r="S269" s="29">
        <v>185000</v>
      </c>
    </row>
    <row r="270" spans="13:19" x14ac:dyDescent="0.25">
      <c r="M270" s="80" t="s">
        <v>21</v>
      </c>
      <c r="N270" s="70" t="s">
        <v>124</v>
      </c>
      <c r="O270" s="68" t="s">
        <v>125</v>
      </c>
      <c r="P270" s="71" t="s">
        <v>47</v>
      </c>
      <c r="Q270" s="71" t="s">
        <v>126</v>
      </c>
      <c r="R270" s="71" t="s">
        <v>49</v>
      </c>
      <c r="S270" s="29">
        <v>186500</v>
      </c>
    </row>
    <row r="271" spans="13:19" x14ac:dyDescent="0.25">
      <c r="M271" s="80" t="s">
        <v>21</v>
      </c>
      <c r="N271" s="70" t="s">
        <v>130</v>
      </c>
      <c r="O271" s="68" t="s">
        <v>131</v>
      </c>
      <c r="P271" s="71" t="s">
        <v>47</v>
      </c>
      <c r="Q271" s="71" t="s">
        <v>132</v>
      </c>
      <c r="R271" s="71" t="s">
        <v>49</v>
      </c>
      <c r="S271" s="29">
        <v>186500</v>
      </c>
    </row>
    <row r="272" spans="13:19" x14ac:dyDescent="0.25">
      <c r="M272" s="80" t="s">
        <v>21</v>
      </c>
      <c r="N272" s="70" t="s">
        <v>136</v>
      </c>
      <c r="O272" s="68" t="s">
        <v>137</v>
      </c>
      <c r="P272" s="71" t="s">
        <v>47</v>
      </c>
      <c r="Q272" s="71" t="s">
        <v>138</v>
      </c>
      <c r="R272" s="71" t="s">
        <v>49</v>
      </c>
      <c r="S272" s="29">
        <v>164750</v>
      </c>
    </row>
    <row r="273" spans="13:19" x14ac:dyDescent="0.25">
      <c r="M273" s="80" t="s">
        <v>21</v>
      </c>
      <c r="N273" s="70" t="s">
        <v>142</v>
      </c>
      <c r="O273" s="68" t="s">
        <v>143</v>
      </c>
      <c r="P273" s="71" t="s">
        <v>47</v>
      </c>
      <c r="Q273" s="71" t="s">
        <v>144</v>
      </c>
      <c r="R273" s="71" t="s">
        <v>49</v>
      </c>
      <c r="S273" s="29">
        <v>171500</v>
      </c>
    </row>
    <row r="274" spans="13:19" x14ac:dyDescent="0.25">
      <c r="M274" s="80" t="s">
        <v>21</v>
      </c>
      <c r="N274" s="70" t="s">
        <v>148</v>
      </c>
      <c r="O274" s="68" t="s">
        <v>149</v>
      </c>
      <c r="P274" s="71" t="s">
        <v>47</v>
      </c>
      <c r="Q274" s="71" t="s">
        <v>150</v>
      </c>
      <c r="R274" s="71" t="s">
        <v>49</v>
      </c>
      <c r="S274" s="29">
        <v>174500</v>
      </c>
    </row>
    <row r="275" spans="13:19" x14ac:dyDescent="0.25">
      <c r="M275" s="80" t="s">
        <v>21</v>
      </c>
      <c r="N275" s="70" t="s">
        <v>153</v>
      </c>
      <c r="O275" s="68" t="s">
        <v>154</v>
      </c>
      <c r="P275" s="71" t="s">
        <v>47</v>
      </c>
      <c r="Q275" s="71" t="s">
        <v>138</v>
      </c>
      <c r="R275" s="71" t="s">
        <v>49</v>
      </c>
      <c r="S275" s="29">
        <v>171500</v>
      </c>
    </row>
    <row r="276" spans="13:19" x14ac:dyDescent="0.25">
      <c r="M276" s="80" t="s">
        <v>21</v>
      </c>
      <c r="N276" s="70" t="s">
        <v>158</v>
      </c>
      <c r="O276" s="68" t="s">
        <v>159</v>
      </c>
      <c r="P276" s="71" t="s">
        <v>47</v>
      </c>
      <c r="Q276" s="71" t="s">
        <v>74</v>
      </c>
      <c r="R276" s="71" t="s">
        <v>49</v>
      </c>
      <c r="S276" s="29">
        <v>200000</v>
      </c>
    </row>
    <row r="277" spans="13:19" x14ac:dyDescent="0.25">
      <c r="M277" s="80" t="s">
        <v>21</v>
      </c>
      <c r="N277" s="70" t="s">
        <v>163</v>
      </c>
      <c r="O277" s="68"/>
      <c r="P277" s="71" t="s">
        <v>47</v>
      </c>
      <c r="Q277" s="71" t="s">
        <v>164</v>
      </c>
      <c r="R277" s="71" t="s">
        <v>49</v>
      </c>
      <c r="S277" s="29">
        <v>181250</v>
      </c>
    </row>
    <row r="278" spans="13:19" x14ac:dyDescent="0.25">
      <c r="M278" s="80" t="s">
        <v>21</v>
      </c>
      <c r="N278" s="70" t="s">
        <v>168</v>
      </c>
      <c r="O278" s="68" t="s">
        <v>169</v>
      </c>
      <c r="P278" s="71" t="s">
        <v>47</v>
      </c>
      <c r="Q278" s="71" t="s">
        <v>120</v>
      </c>
      <c r="R278" s="71" t="s">
        <v>49</v>
      </c>
      <c r="S278" s="29">
        <v>173750</v>
      </c>
    </row>
    <row r="279" spans="13:19" x14ac:dyDescent="0.25">
      <c r="M279" s="80" t="s">
        <v>21</v>
      </c>
      <c r="N279" s="70" t="s">
        <v>173</v>
      </c>
      <c r="O279" s="68" t="s">
        <v>174</v>
      </c>
      <c r="P279" s="71" t="s">
        <v>47</v>
      </c>
      <c r="Q279" s="71" t="s">
        <v>120</v>
      </c>
      <c r="R279" s="71" t="s">
        <v>49</v>
      </c>
      <c r="S279" s="29">
        <v>168500</v>
      </c>
    </row>
    <row r="280" spans="13:19" x14ac:dyDescent="0.25">
      <c r="M280" s="80" t="s">
        <v>21</v>
      </c>
      <c r="N280" s="70" t="s">
        <v>178</v>
      </c>
      <c r="O280" s="68"/>
      <c r="P280" s="71" t="s">
        <v>47</v>
      </c>
      <c r="Q280" s="71" t="s">
        <v>48</v>
      </c>
      <c r="R280" s="71" t="s">
        <v>49</v>
      </c>
      <c r="S280" s="29">
        <v>183500</v>
      </c>
    </row>
    <row r="281" spans="13:19" x14ac:dyDescent="0.25">
      <c r="M281" s="80" t="s">
        <v>21</v>
      </c>
      <c r="N281" s="70" t="s">
        <v>182</v>
      </c>
      <c r="O281" s="68" t="s">
        <v>183</v>
      </c>
      <c r="P281" s="71" t="s">
        <v>47</v>
      </c>
      <c r="Q281" s="71" t="s">
        <v>81</v>
      </c>
      <c r="R281" s="71" t="s">
        <v>49</v>
      </c>
      <c r="S281" s="29">
        <v>167750</v>
      </c>
    </row>
    <row r="282" spans="13:19" x14ac:dyDescent="0.25">
      <c r="M282" s="80" t="s">
        <v>21</v>
      </c>
      <c r="N282" s="70" t="s">
        <v>186</v>
      </c>
      <c r="O282" s="68" t="s">
        <v>187</v>
      </c>
      <c r="P282" s="71" t="s">
        <v>47</v>
      </c>
      <c r="Q282" s="71" t="s">
        <v>88</v>
      </c>
      <c r="R282" s="71" t="s">
        <v>49</v>
      </c>
      <c r="S282" s="29">
        <v>179750</v>
      </c>
    </row>
    <row r="283" spans="13:19" x14ac:dyDescent="0.25">
      <c r="M283" s="80" t="s">
        <v>21</v>
      </c>
      <c r="N283" s="70" t="s">
        <v>190</v>
      </c>
      <c r="O283" s="68" t="s">
        <v>191</v>
      </c>
      <c r="P283" s="71" t="s">
        <v>47</v>
      </c>
      <c r="Q283" s="71" t="s">
        <v>192</v>
      </c>
      <c r="R283" s="71" t="s">
        <v>49</v>
      </c>
      <c r="S283" s="29">
        <v>203750</v>
      </c>
    </row>
    <row r="284" spans="13:19" x14ac:dyDescent="0.25">
      <c r="M284" s="80" t="s">
        <v>21</v>
      </c>
      <c r="N284" s="70" t="s">
        <v>195</v>
      </c>
      <c r="O284" s="68" t="s">
        <v>196</v>
      </c>
      <c r="P284" s="71" t="s">
        <v>47</v>
      </c>
      <c r="Q284" s="71" t="s">
        <v>197</v>
      </c>
      <c r="R284" s="71" t="s">
        <v>49</v>
      </c>
      <c r="S284" s="29">
        <v>170000</v>
      </c>
    </row>
    <row r="285" spans="13:19" x14ac:dyDescent="0.25">
      <c r="M285" s="80" t="s">
        <v>21</v>
      </c>
      <c r="N285" s="70" t="s">
        <v>200</v>
      </c>
      <c r="O285" s="68" t="s">
        <v>201</v>
      </c>
      <c r="P285" s="71" t="s">
        <v>47</v>
      </c>
      <c r="Q285" s="71" t="s">
        <v>202</v>
      </c>
      <c r="R285" s="71" t="s">
        <v>49</v>
      </c>
      <c r="S285" s="29">
        <v>176000</v>
      </c>
    </row>
    <row r="286" spans="13:19" x14ac:dyDescent="0.25">
      <c r="M286" s="80" t="s">
        <v>21</v>
      </c>
      <c r="N286" s="70" t="s">
        <v>205</v>
      </c>
      <c r="O286" s="68" t="s">
        <v>206</v>
      </c>
      <c r="P286" s="71" t="s">
        <v>47</v>
      </c>
      <c r="Q286" s="71" t="s">
        <v>48</v>
      </c>
      <c r="R286" s="71" t="s">
        <v>49</v>
      </c>
      <c r="S286" s="29">
        <v>185750</v>
      </c>
    </row>
    <row r="287" spans="13:19" x14ac:dyDescent="0.25">
      <c r="M287" s="80" t="s">
        <v>21</v>
      </c>
      <c r="N287" s="70" t="s">
        <v>209</v>
      </c>
      <c r="O287" s="68" t="s">
        <v>210</v>
      </c>
      <c r="P287" s="71" t="s">
        <v>47</v>
      </c>
      <c r="Q287" s="71" t="s">
        <v>211</v>
      </c>
      <c r="R287" s="71" t="s">
        <v>49</v>
      </c>
      <c r="S287" s="29">
        <v>164000</v>
      </c>
    </row>
    <row r="288" spans="13:19" x14ac:dyDescent="0.25">
      <c r="M288" s="80" t="s">
        <v>21</v>
      </c>
      <c r="N288" s="70" t="s">
        <v>214</v>
      </c>
      <c r="O288" s="68" t="s">
        <v>215</v>
      </c>
      <c r="P288" s="71" t="s">
        <v>47</v>
      </c>
      <c r="Q288" s="71" t="s">
        <v>216</v>
      </c>
      <c r="R288" s="71" t="s">
        <v>49</v>
      </c>
      <c r="S288" s="29">
        <v>191000</v>
      </c>
    </row>
    <row r="289" spans="13:19" x14ac:dyDescent="0.25">
      <c r="M289" s="80" t="s">
        <v>21</v>
      </c>
      <c r="N289" s="70" t="s">
        <v>219</v>
      </c>
      <c r="O289" s="68" t="s">
        <v>220</v>
      </c>
      <c r="P289" s="71" t="s">
        <v>47</v>
      </c>
      <c r="Q289" s="71" t="s">
        <v>48</v>
      </c>
      <c r="R289" s="71" t="s">
        <v>49</v>
      </c>
      <c r="S289" s="29">
        <v>176750</v>
      </c>
    </row>
    <row r="290" spans="13:19" x14ac:dyDescent="0.25">
      <c r="M290" s="80" t="s">
        <v>21</v>
      </c>
      <c r="N290" s="70" t="s">
        <v>223</v>
      </c>
      <c r="O290" s="68" t="s">
        <v>224</v>
      </c>
      <c r="P290" s="71" t="s">
        <v>47</v>
      </c>
      <c r="Q290" s="71" t="s">
        <v>48</v>
      </c>
      <c r="R290" s="71" t="s">
        <v>49</v>
      </c>
      <c r="S290" s="29">
        <v>185000</v>
      </c>
    </row>
    <row r="291" spans="13:19" x14ac:dyDescent="0.25">
      <c r="M291" s="80" t="s">
        <v>21</v>
      </c>
      <c r="N291" s="70" t="s">
        <v>227</v>
      </c>
      <c r="O291" s="68" t="s">
        <v>228</v>
      </c>
      <c r="P291" s="71" t="s">
        <v>47</v>
      </c>
      <c r="Q291" s="71" t="s">
        <v>229</v>
      </c>
      <c r="R291" s="71" t="s">
        <v>49</v>
      </c>
      <c r="S291" s="29">
        <v>184250</v>
      </c>
    </row>
    <row r="292" spans="13:19" x14ac:dyDescent="0.25">
      <c r="M292" s="80" t="s">
        <v>21</v>
      </c>
      <c r="N292" s="70" t="s">
        <v>232</v>
      </c>
      <c r="O292" s="68" t="s">
        <v>233</v>
      </c>
      <c r="P292" s="71" t="s">
        <v>47</v>
      </c>
      <c r="Q292" s="71" t="s">
        <v>144</v>
      </c>
      <c r="R292" s="71" t="s">
        <v>49</v>
      </c>
      <c r="S292" s="29">
        <v>176000</v>
      </c>
    </row>
    <row r="293" spans="13:19" x14ac:dyDescent="0.25">
      <c r="M293" s="80" t="s">
        <v>21</v>
      </c>
      <c r="N293" s="70" t="s">
        <v>236</v>
      </c>
      <c r="O293" s="68" t="s">
        <v>237</v>
      </c>
      <c r="P293" s="71" t="s">
        <v>47</v>
      </c>
      <c r="Q293" s="71" t="s">
        <v>229</v>
      </c>
      <c r="R293" s="71" t="s">
        <v>49</v>
      </c>
      <c r="S293" s="29">
        <v>183500</v>
      </c>
    </row>
    <row r="294" spans="13:19" x14ac:dyDescent="0.25">
      <c r="M294" s="80" t="s">
        <v>21</v>
      </c>
      <c r="N294" s="70" t="s">
        <v>240</v>
      </c>
      <c r="O294" s="68" t="s">
        <v>241</v>
      </c>
      <c r="P294" s="71" t="s">
        <v>47</v>
      </c>
      <c r="Q294" s="71" t="s">
        <v>48</v>
      </c>
      <c r="R294" s="71" t="s">
        <v>49</v>
      </c>
      <c r="S294" s="29">
        <v>182750</v>
      </c>
    </row>
    <row r="295" spans="13:19" x14ac:dyDescent="0.25">
      <c r="M295" s="80" t="s">
        <v>21</v>
      </c>
      <c r="N295" s="70" t="s">
        <v>244</v>
      </c>
      <c r="O295" s="68" t="s">
        <v>245</v>
      </c>
      <c r="P295" s="71" t="s">
        <v>47</v>
      </c>
      <c r="Q295" s="71" t="s">
        <v>48</v>
      </c>
      <c r="R295" s="71" t="s">
        <v>49</v>
      </c>
      <c r="S295" s="29">
        <v>182000</v>
      </c>
    </row>
    <row r="296" spans="13:19" x14ac:dyDescent="0.25">
      <c r="M296" s="80" t="s">
        <v>21</v>
      </c>
      <c r="N296" s="70" t="s">
        <v>248</v>
      </c>
      <c r="O296" s="68" t="s">
        <v>249</v>
      </c>
      <c r="P296" s="71" t="s">
        <v>47</v>
      </c>
      <c r="Q296" s="71" t="s">
        <v>48</v>
      </c>
      <c r="R296" s="71" t="s">
        <v>49</v>
      </c>
      <c r="S296" s="29">
        <v>185750</v>
      </c>
    </row>
    <row r="297" spans="13:19" x14ac:dyDescent="0.25">
      <c r="M297" s="80" t="s">
        <v>21</v>
      </c>
      <c r="N297" s="70" t="s">
        <v>252</v>
      </c>
      <c r="O297" s="68" t="s">
        <v>253</v>
      </c>
      <c r="P297" s="71" t="s">
        <v>47</v>
      </c>
      <c r="Q297" s="71" t="s">
        <v>68</v>
      </c>
      <c r="R297" s="71" t="s">
        <v>49</v>
      </c>
      <c r="S297" s="29">
        <v>184250</v>
      </c>
    </row>
    <row r="298" spans="13:19" x14ac:dyDescent="0.25">
      <c r="M298" s="80" t="s">
        <v>21</v>
      </c>
      <c r="N298" s="70" t="s">
        <v>256</v>
      </c>
      <c r="O298" s="68" t="s">
        <v>257</v>
      </c>
      <c r="P298" s="71" t="s">
        <v>47</v>
      </c>
      <c r="Q298" s="71" t="s">
        <v>258</v>
      </c>
      <c r="R298" s="71" t="s">
        <v>49</v>
      </c>
      <c r="S298" s="29">
        <v>186500</v>
      </c>
    </row>
    <row r="299" spans="13:19" x14ac:dyDescent="0.25">
      <c r="M299" s="80" t="s">
        <v>21</v>
      </c>
      <c r="N299" s="70" t="s">
        <v>261</v>
      </c>
      <c r="O299" s="68" t="s">
        <v>262</v>
      </c>
      <c r="P299" s="71" t="s">
        <v>47</v>
      </c>
      <c r="Q299" s="71" t="s">
        <v>68</v>
      </c>
      <c r="R299" s="71" t="s">
        <v>49</v>
      </c>
      <c r="S299" s="29">
        <v>184250</v>
      </c>
    </row>
    <row r="300" spans="13:19" x14ac:dyDescent="0.25">
      <c r="M300" s="80" t="s">
        <v>21</v>
      </c>
      <c r="N300" s="70" t="s">
        <v>265</v>
      </c>
      <c r="O300" s="68" t="s">
        <v>266</v>
      </c>
      <c r="P300" s="71" t="s">
        <v>47</v>
      </c>
      <c r="Q300" s="71" t="s">
        <v>68</v>
      </c>
      <c r="R300" s="71" t="s">
        <v>49</v>
      </c>
      <c r="S300" s="29">
        <v>184250</v>
      </c>
    </row>
    <row r="301" spans="13:19" x14ac:dyDescent="0.25">
      <c r="M301" s="80" t="s">
        <v>21</v>
      </c>
      <c r="N301" s="70" t="s">
        <v>269</v>
      </c>
      <c r="O301" s="68"/>
      <c r="P301" s="71" t="s">
        <v>47</v>
      </c>
      <c r="Q301" s="71" t="s">
        <v>48</v>
      </c>
      <c r="R301" s="71" t="s">
        <v>49</v>
      </c>
      <c r="S301" s="29">
        <v>184250</v>
      </c>
    </row>
    <row r="302" spans="13:19" x14ac:dyDescent="0.25">
      <c r="M302" s="80" t="s">
        <v>21</v>
      </c>
      <c r="N302" s="70" t="s">
        <v>272</v>
      </c>
      <c r="O302" s="68" t="s">
        <v>273</v>
      </c>
      <c r="P302" s="71" t="s">
        <v>47</v>
      </c>
      <c r="Q302" s="71" t="s">
        <v>48</v>
      </c>
      <c r="R302" s="71" t="s">
        <v>49</v>
      </c>
      <c r="S302" s="29">
        <v>186500</v>
      </c>
    </row>
    <row r="303" spans="13:19" x14ac:dyDescent="0.25">
      <c r="M303" s="80" t="s">
        <v>21</v>
      </c>
      <c r="N303" s="70" t="s">
        <v>276</v>
      </c>
      <c r="O303" s="68" t="s">
        <v>277</v>
      </c>
      <c r="P303" s="71" t="s">
        <v>47</v>
      </c>
      <c r="Q303" s="71" t="s">
        <v>48</v>
      </c>
      <c r="R303" s="71" t="s">
        <v>49</v>
      </c>
      <c r="S303" s="29">
        <v>185750</v>
      </c>
    </row>
    <row r="304" spans="13:19" x14ac:dyDescent="0.25">
      <c r="M304" s="80" t="s">
        <v>21</v>
      </c>
      <c r="N304" s="70" t="s">
        <v>280</v>
      </c>
      <c r="O304" s="68" t="s">
        <v>281</v>
      </c>
      <c r="P304" s="71" t="s">
        <v>47</v>
      </c>
      <c r="Q304" s="71" t="s">
        <v>48</v>
      </c>
      <c r="R304" s="71" t="s">
        <v>49</v>
      </c>
      <c r="S304" s="29">
        <v>184250</v>
      </c>
    </row>
    <row r="305" spans="13:19" x14ac:dyDescent="0.25">
      <c r="M305" s="80" t="s">
        <v>21</v>
      </c>
      <c r="N305" s="70" t="s">
        <v>284</v>
      </c>
      <c r="O305" s="68" t="s">
        <v>285</v>
      </c>
      <c r="P305" s="71" t="s">
        <v>47</v>
      </c>
      <c r="Q305" s="71" t="s">
        <v>286</v>
      </c>
      <c r="R305" s="71" t="s">
        <v>49</v>
      </c>
      <c r="S305" s="29">
        <v>163250</v>
      </c>
    </row>
    <row r="306" spans="13:19" x14ac:dyDescent="0.25">
      <c r="M306" s="80" t="s">
        <v>21</v>
      </c>
      <c r="N306" s="70" t="s">
        <v>289</v>
      </c>
      <c r="O306" s="68" t="s">
        <v>290</v>
      </c>
      <c r="P306" s="71" t="s">
        <v>47</v>
      </c>
      <c r="Q306" s="71" t="s">
        <v>291</v>
      </c>
      <c r="R306" s="71" t="s">
        <v>49</v>
      </c>
      <c r="S306" s="29">
        <v>187250</v>
      </c>
    </row>
    <row r="307" spans="13:19" x14ac:dyDescent="0.25">
      <c r="M307" s="80" t="s">
        <v>21</v>
      </c>
      <c r="N307" s="70" t="s">
        <v>294</v>
      </c>
      <c r="O307" s="68" t="s">
        <v>295</v>
      </c>
      <c r="P307" s="71" t="s">
        <v>47</v>
      </c>
      <c r="Q307" s="71" t="s">
        <v>48</v>
      </c>
      <c r="R307" s="71" t="s">
        <v>49</v>
      </c>
      <c r="S307" s="29">
        <v>178250</v>
      </c>
    </row>
    <row r="308" spans="13:19" x14ac:dyDescent="0.25">
      <c r="M308" s="80" t="s">
        <v>21</v>
      </c>
      <c r="N308" s="70" t="s">
        <v>298</v>
      </c>
      <c r="O308" s="68" t="s">
        <v>299</v>
      </c>
      <c r="P308" s="71" t="s">
        <v>47</v>
      </c>
      <c r="Q308" s="71" t="s">
        <v>216</v>
      </c>
      <c r="R308" s="71" t="s">
        <v>49</v>
      </c>
      <c r="S308" s="29">
        <v>189500</v>
      </c>
    </row>
    <row r="309" spans="13:19" x14ac:dyDescent="0.25">
      <c r="M309" s="80" t="s">
        <v>21</v>
      </c>
      <c r="N309" s="70" t="s">
        <v>302</v>
      </c>
      <c r="O309" s="68" t="s">
        <v>303</v>
      </c>
      <c r="P309" s="71" t="s">
        <v>47</v>
      </c>
      <c r="Q309" s="71" t="s">
        <v>48</v>
      </c>
      <c r="R309" s="71" t="s">
        <v>49</v>
      </c>
      <c r="S309" s="29">
        <v>184250</v>
      </c>
    </row>
    <row r="310" spans="13:19" x14ac:dyDescent="0.25">
      <c r="M310" s="80" t="s">
        <v>21</v>
      </c>
      <c r="N310" s="70" t="s">
        <v>306</v>
      </c>
      <c r="O310" s="68" t="s">
        <v>307</v>
      </c>
      <c r="P310" s="71" t="s">
        <v>47</v>
      </c>
      <c r="Q310" s="71" t="s">
        <v>48</v>
      </c>
      <c r="R310" s="71" t="s">
        <v>49</v>
      </c>
      <c r="S310" s="29">
        <v>185750</v>
      </c>
    </row>
    <row r="311" spans="13:19" x14ac:dyDescent="0.25">
      <c r="M311" s="80" t="s">
        <v>21</v>
      </c>
      <c r="N311" s="70" t="s">
        <v>310</v>
      </c>
      <c r="O311" s="68"/>
      <c r="P311" s="71" t="s">
        <v>47</v>
      </c>
      <c r="Q311" s="71" t="s">
        <v>48</v>
      </c>
      <c r="R311" s="71" t="s">
        <v>49</v>
      </c>
      <c r="S311" s="29">
        <v>163250</v>
      </c>
    </row>
    <row r="312" spans="13:19" x14ac:dyDescent="0.25">
      <c r="M312" s="80" t="s">
        <v>21</v>
      </c>
      <c r="N312" s="70" t="s">
        <v>313</v>
      </c>
      <c r="O312" s="68"/>
      <c r="P312" s="71" t="s">
        <v>47</v>
      </c>
      <c r="Q312" s="71" t="s">
        <v>48</v>
      </c>
      <c r="R312" s="71" t="s">
        <v>49</v>
      </c>
      <c r="S312" s="29">
        <v>185750</v>
      </c>
    </row>
    <row r="313" spans="13:19" x14ac:dyDescent="0.25">
      <c r="M313" s="80" t="s">
        <v>21</v>
      </c>
      <c r="N313" s="70" t="s">
        <v>316</v>
      </c>
      <c r="O313" s="68" t="s">
        <v>317</v>
      </c>
      <c r="P313" s="71" t="s">
        <v>47</v>
      </c>
      <c r="Q313" s="71" t="s">
        <v>48</v>
      </c>
      <c r="R313" s="71" t="s">
        <v>49</v>
      </c>
      <c r="S313" s="29">
        <v>179000</v>
      </c>
    </row>
    <row r="314" spans="13:19" x14ac:dyDescent="0.25">
      <c r="M314" s="80" t="s">
        <v>21</v>
      </c>
      <c r="N314" s="70" t="s">
        <v>320</v>
      </c>
      <c r="O314" s="68" t="s">
        <v>321</v>
      </c>
      <c r="P314" s="71" t="s">
        <v>47</v>
      </c>
      <c r="Q314" s="71" t="s">
        <v>48</v>
      </c>
      <c r="R314" s="71" t="s">
        <v>49</v>
      </c>
      <c r="S314" s="29">
        <v>181250</v>
      </c>
    </row>
    <row r="315" spans="13:19" x14ac:dyDescent="0.25">
      <c r="M315" s="80" t="s">
        <v>21</v>
      </c>
      <c r="N315" s="70" t="s">
        <v>323</v>
      </c>
      <c r="O315" s="68" t="s">
        <v>324</v>
      </c>
      <c r="P315" s="71" t="s">
        <v>47</v>
      </c>
      <c r="Q315" s="71" t="s">
        <v>164</v>
      </c>
      <c r="R315" s="71" t="s">
        <v>49</v>
      </c>
      <c r="S315" s="29">
        <v>170750</v>
      </c>
    </row>
    <row r="316" spans="13:19" x14ac:dyDescent="0.25">
      <c r="M316" s="80" t="s">
        <v>21</v>
      </c>
      <c r="N316" s="70" t="s">
        <v>327</v>
      </c>
      <c r="O316" s="68" t="s">
        <v>328</v>
      </c>
      <c r="P316" s="71" t="s">
        <v>47</v>
      </c>
      <c r="Q316" s="71" t="s">
        <v>144</v>
      </c>
      <c r="R316" s="71" t="s">
        <v>49</v>
      </c>
      <c r="S316" s="29">
        <v>174500</v>
      </c>
    </row>
    <row r="317" spans="13:19" x14ac:dyDescent="0.25">
      <c r="M317" s="80" t="s">
        <v>21</v>
      </c>
      <c r="N317" s="70" t="s">
        <v>331</v>
      </c>
      <c r="O317" s="68" t="s">
        <v>332</v>
      </c>
      <c r="P317" s="71" t="s">
        <v>47</v>
      </c>
      <c r="Q317" s="71" t="s">
        <v>95</v>
      </c>
      <c r="R317" s="71" t="s">
        <v>49</v>
      </c>
      <c r="S317" s="29">
        <v>188750</v>
      </c>
    </row>
    <row r="318" spans="13:19" x14ac:dyDescent="0.25">
      <c r="M318" s="80" t="s">
        <v>21</v>
      </c>
      <c r="N318" s="70" t="s">
        <v>336</v>
      </c>
      <c r="O318" s="68" t="s">
        <v>337</v>
      </c>
      <c r="P318" s="71" t="s">
        <v>47</v>
      </c>
      <c r="Q318" s="71" t="s">
        <v>338</v>
      </c>
      <c r="R318" s="71" t="s">
        <v>49</v>
      </c>
      <c r="S318" s="29">
        <v>197000</v>
      </c>
    </row>
    <row r="319" spans="13:19" x14ac:dyDescent="0.25">
      <c r="M319" s="80" t="s">
        <v>21</v>
      </c>
      <c r="N319" s="70" t="s">
        <v>339</v>
      </c>
      <c r="O319" s="68" t="s">
        <v>340</v>
      </c>
      <c r="P319" s="71" t="s">
        <v>47</v>
      </c>
      <c r="Q319" s="71" t="s">
        <v>286</v>
      </c>
      <c r="R319" s="71" t="s">
        <v>49</v>
      </c>
      <c r="S319" s="29">
        <v>166250</v>
      </c>
    </row>
    <row r="320" spans="13:19" x14ac:dyDescent="0.25">
      <c r="M320" s="80" t="s">
        <v>21</v>
      </c>
      <c r="N320" s="70" t="s">
        <v>341</v>
      </c>
      <c r="O320" s="68" t="s">
        <v>342</v>
      </c>
      <c r="P320" s="71" t="s">
        <v>47</v>
      </c>
      <c r="Q320" s="71" t="s">
        <v>68</v>
      </c>
      <c r="R320" s="71" t="s">
        <v>49</v>
      </c>
      <c r="S320" s="29">
        <v>187250</v>
      </c>
    </row>
    <row r="321" spans="13:19" x14ac:dyDescent="0.25">
      <c r="M321" s="80" t="s">
        <v>21</v>
      </c>
      <c r="N321" s="70" t="s">
        <v>343</v>
      </c>
      <c r="O321" s="68"/>
      <c r="P321" s="71" t="s">
        <v>47</v>
      </c>
      <c r="Q321" s="71" t="s">
        <v>48</v>
      </c>
      <c r="R321" s="71" t="s">
        <v>49</v>
      </c>
      <c r="S321" s="29">
        <v>186500</v>
      </c>
    </row>
    <row r="322" spans="13:19" x14ac:dyDescent="0.25">
      <c r="M322" s="80" t="s">
        <v>21</v>
      </c>
      <c r="N322" s="70" t="s">
        <v>344</v>
      </c>
      <c r="O322" s="68" t="s">
        <v>345</v>
      </c>
      <c r="P322" s="71" t="s">
        <v>47</v>
      </c>
      <c r="Q322" s="71" t="s">
        <v>346</v>
      </c>
      <c r="R322" s="71" t="s">
        <v>49</v>
      </c>
      <c r="S322" s="29">
        <v>213500</v>
      </c>
    </row>
    <row r="323" spans="13:19" x14ac:dyDescent="0.25">
      <c r="M323" s="80" t="s">
        <v>21</v>
      </c>
      <c r="N323" s="70" t="s">
        <v>347</v>
      </c>
      <c r="O323" s="68" t="s">
        <v>348</v>
      </c>
      <c r="P323" s="71" t="s">
        <v>47</v>
      </c>
      <c r="Q323" s="71" t="s">
        <v>349</v>
      </c>
      <c r="R323" s="71" t="s">
        <v>49</v>
      </c>
      <c r="S323" s="29">
        <v>184250</v>
      </c>
    </row>
    <row r="324" spans="13:19" x14ac:dyDescent="0.25">
      <c r="M324" s="80" t="s">
        <v>21</v>
      </c>
      <c r="N324" s="70" t="s">
        <v>352</v>
      </c>
      <c r="O324" s="68" t="s">
        <v>353</v>
      </c>
      <c r="P324" s="71" t="s">
        <v>47</v>
      </c>
      <c r="Q324" s="71" t="s">
        <v>354</v>
      </c>
      <c r="R324" s="71" t="s">
        <v>49</v>
      </c>
      <c r="S324" s="29">
        <v>158750</v>
      </c>
    </row>
    <row r="325" spans="13:19" x14ac:dyDescent="0.25">
      <c r="M325" s="80" t="s">
        <v>21</v>
      </c>
      <c r="N325" s="70" t="s">
        <v>356</v>
      </c>
      <c r="O325" s="68" t="s">
        <v>357</v>
      </c>
      <c r="P325" s="71" t="s">
        <v>47</v>
      </c>
      <c r="Q325" s="71" t="s">
        <v>349</v>
      </c>
      <c r="R325" s="71" t="s">
        <v>49</v>
      </c>
      <c r="S325" s="29">
        <v>184250</v>
      </c>
    </row>
    <row r="326" spans="13:19" x14ac:dyDescent="0.25">
      <c r="M326" s="80" t="s">
        <v>21</v>
      </c>
      <c r="N326" s="70" t="s">
        <v>359</v>
      </c>
      <c r="O326" s="68" t="s">
        <v>360</v>
      </c>
      <c r="P326" s="71" t="s">
        <v>47</v>
      </c>
      <c r="Q326" s="71" t="s">
        <v>48</v>
      </c>
      <c r="R326" s="71" t="s">
        <v>49</v>
      </c>
      <c r="S326" s="29">
        <v>179000</v>
      </c>
    </row>
    <row r="327" spans="13:19" x14ac:dyDescent="0.25">
      <c r="M327" s="80" t="s">
        <v>21</v>
      </c>
      <c r="N327" s="70" t="s">
        <v>362</v>
      </c>
      <c r="O327" s="68" t="s">
        <v>363</v>
      </c>
      <c r="P327" s="71" t="s">
        <v>47</v>
      </c>
      <c r="Q327" s="71" t="s">
        <v>81</v>
      </c>
      <c r="R327" s="71" t="s">
        <v>49</v>
      </c>
      <c r="S327" s="29">
        <v>181250</v>
      </c>
    </row>
    <row r="328" spans="13:19" x14ac:dyDescent="0.25">
      <c r="M328" s="80" t="s">
        <v>21</v>
      </c>
      <c r="N328" s="70" t="s">
        <v>365</v>
      </c>
      <c r="O328" s="63" t="s">
        <v>366</v>
      </c>
      <c r="P328" s="71" t="s">
        <v>47</v>
      </c>
      <c r="Q328" s="71" t="s">
        <v>150</v>
      </c>
      <c r="R328" s="71" t="s">
        <v>49</v>
      </c>
      <c r="S328" s="29">
        <v>166250</v>
      </c>
    </row>
    <row r="329" spans="13:19" x14ac:dyDescent="0.25">
      <c r="M329" s="80" t="s">
        <v>21</v>
      </c>
      <c r="N329" s="70" t="s">
        <v>368</v>
      </c>
      <c r="O329" s="63" t="s">
        <v>369</v>
      </c>
      <c r="P329" s="71" t="s">
        <v>47</v>
      </c>
      <c r="Q329" s="71" t="s">
        <v>68</v>
      </c>
      <c r="R329" s="71" t="s">
        <v>49</v>
      </c>
      <c r="S329" s="29">
        <v>183500</v>
      </c>
    </row>
    <row r="330" spans="13:19" x14ac:dyDescent="0.25">
      <c r="M330" s="80" t="s">
        <v>21</v>
      </c>
      <c r="N330" s="70" t="s">
        <v>371</v>
      </c>
      <c r="O330" t="s">
        <v>372</v>
      </c>
      <c r="P330" s="71" t="s">
        <v>47</v>
      </c>
      <c r="Q330" s="71" t="s">
        <v>74</v>
      </c>
      <c r="R330" s="71" t="s">
        <v>49</v>
      </c>
      <c r="S330" s="29">
        <v>201500</v>
      </c>
    </row>
    <row r="331" spans="13:19" x14ac:dyDescent="0.25">
      <c r="M331" s="80" t="s">
        <v>21</v>
      </c>
      <c r="N331" s="70" t="s">
        <v>374</v>
      </c>
      <c r="O331" t="s">
        <v>375</v>
      </c>
      <c r="P331" s="71" t="s">
        <v>47</v>
      </c>
      <c r="Q331" s="71" t="s">
        <v>376</v>
      </c>
      <c r="R331" s="71" t="s">
        <v>49</v>
      </c>
      <c r="S331" s="29">
        <v>184250</v>
      </c>
    </row>
    <row r="332" spans="13:19" x14ac:dyDescent="0.25">
      <c r="M332" s="80" t="s">
        <v>21</v>
      </c>
      <c r="N332" s="70" t="s">
        <v>378</v>
      </c>
      <c r="O332" s="68" t="s">
        <v>379</v>
      </c>
      <c r="P332" s="71" t="s">
        <v>47</v>
      </c>
      <c r="Q332" s="71" t="s">
        <v>138</v>
      </c>
      <c r="R332" s="71" t="s">
        <v>49</v>
      </c>
      <c r="S332" s="29">
        <v>164750</v>
      </c>
    </row>
    <row r="333" spans="13:19" x14ac:dyDescent="0.25">
      <c r="M333" s="80" t="s">
        <v>21</v>
      </c>
      <c r="N333" s="70" t="s">
        <v>381</v>
      </c>
      <c r="O333" s="68"/>
      <c r="P333" s="71" t="s">
        <v>47</v>
      </c>
      <c r="Q333" s="71" t="s">
        <v>382</v>
      </c>
      <c r="R333" s="71" t="s">
        <v>49</v>
      </c>
      <c r="S333" s="29">
        <v>163250</v>
      </c>
    </row>
    <row r="334" spans="13:19" x14ac:dyDescent="0.25">
      <c r="M334" s="80" t="s">
        <v>21</v>
      </c>
      <c r="N334" s="70" t="s">
        <v>384</v>
      </c>
      <c r="O334" s="68"/>
      <c r="P334" s="71" t="s">
        <v>47</v>
      </c>
      <c r="Q334" s="71" t="s">
        <v>101</v>
      </c>
      <c r="R334" s="71" t="s">
        <v>49</v>
      </c>
      <c r="S334" s="29">
        <v>163250</v>
      </c>
    </row>
    <row r="335" spans="13:19" x14ac:dyDescent="0.25">
      <c r="M335" s="80" t="s">
        <v>21</v>
      </c>
      <c r="N335" s="70" t="s">
        <v>386</v>
      </c>
      <c r="O335" s="68"/>
      <c r="P335" s="71" t="s">
        <v>47</v>
      </c>
      <c r="Q335" s="71" t="s">
        <v>48</v>
      </c>
      <c r="R335" s="71" t="s">
        <v>49</v>
      </c>
      <c r="S335" s="29">
        <v>181250</v>
      </c>
    </row>
    <row r="336" spans="13:19" x14ac:dyDescent="0.25">
      <c r="M336" s="80" t="s">
        <v>21</v>
      </c>
      <c r="N336" s="70" t="s">
        <v>388</v>
      </c>
      <c r="O336" s="68"/>
      <c r="P336" s="71" t="s">
        <v>47</v>
      </c>
      <c r="Q336" s="71" t="s">
        <v>48</v>
      </c>
      <c r="R336" s="71" t="s">
        <v>49</v>
      </c>
      <c r="S336" s="29">
        <v>174500</v>
      </c>
    </row>
    <row r="337" spans="13:19" x14ac:dyDescent="0.25">
      <c r="M337" s="80" t="s">
        <v>21</v>
      </c>
      <c r="N337" s="70" t="s">
        <v>390</v>
      </c>
      <c r="O337" s="68"/>
      <c r="P337" s="71" t="s">
        <v>47</v>
      </c>
      <c r="Q337" s="71" t="s">
        <v>48</v>
      </c>
      <c r="R337" s="71" t="s">
        <v>49</v>
      </c>
      <c r="S337" s="29">
        <v>176750</v>
      </c>
    </row>
    <row r="338" spans="13:19" x14ac:dyDescent="0.25">
      <c r="M338" s="80" t="s">
        <v>21</v>
      </c>
      <c r="N338" s="70" t="s">
        <v>392</v>
      </c>
      <c r="O338" s="68"/>
      <c r="P338" s="71" t="s">
        <v>47</v>
      </c>
      <c r="Q338" s="71" t="s">
        <v>48</v>
      </c>
      <c r="R338" s="71" t="s">
        <v>49</v>
      </c>
      <c r="S338" s="29">
        <v>177500</v>
      </c>
    </row>
    <row r="339" spans="13:19" x14ac:dyDescent="0.25">
      <c r="M339" s="80" t="s">
        <v>21</v>
      </c>
      <c r="N339" s="70" t="s">
        <v>394</v>
      </c>
      <c r="O339" s="68"/>
      <c r="P339" s="71" t="s">
        <v>47</v>
      </c>
      <c r="Q339" s="71" t="s">
        <v>291</v>
      </c>
      <c r="R339" s="71" t="s">
        <v>49</v>
      </c>
      <c r="S339" s="29">
        <v>190250</v>
      </c>
    </row>
    <row r="340" spans="13:19" x14ac:dyDescent="0.25">
      <c r="M340" s="80" t="s">
        <v>21</v>
      </c>
      <c r="N340" s="70" t="s">
        <v>396</v>
      </c>
      <c r="O340" s="68"/>
      <c r="P340" s="71" t="s">
        <v>47</v>
      </c>
      <c r="Q340" s="71" t="s">
        <v>48</v>
      </c>
      <c r="R340" s="71" t="s">
        <v>49</v>
      </c>
      <c r="S340" s="29">
        <v>182000</v>
      </c>
    </row>
    <row r="341" spans="13:19" x14ac:dyDescent="0.25">
      <c r="M341" s="80" t="s">
        <v>21</v>
      </c>
      <c r="N341" s="70" t="s">
        <v>398</v>
      </c>
      <c r="O341" s="68"/>
      <c r="P341" s="71" t="s">
        <v>47</v>
      </c>
      <c r="Q341" s="71" t="s">
        <v>376</v>
      </c>
      <c r="R341" s="71" t="s">
        <v>49</v>
      </c>
      <c r="S341" s="29">
        <v>181250</v>
      </c>
    </row>
    <row r="342" spans="13:19" x14ac:dyDescent="0.25">
      <c r="M342" s="80" t="s">
        <v>21</v>
      </c>
      <c r="N342" s="70" t="s">
        <v>400</v>
      </c>
      <c r="O342" s="68"/>
      <c r="P342" s="71" t="s">
        <v>47</v>
      </c>
      <c r="Q342" s="71" t="s">
        <v>197</v>
      </c>
      <c r="R342" s="71" t="s">
        <v>49</v>
      </c>
      <c r="S342" s="29">
        <v>177500</v>
      </c>
    </row>
    <row r="343" spans="13:19" x14ac:dyDescent="0.25">
      <c r="M343" s="80" t="s">
        <v>21</v>
      </c>
      <c r="N343" s="70" t="s">
        <v>402</v>
      </c>
      <c r="O343" s="68"/>
      <c r="P343" s="71" t="s">
        <v>47</v>
      </c>
      <c r="Q343" s="71" t="s">
        <v>202</v>
      </c>
      <c r="R343" s="71" t="s">
        <v>49</v>
      </c>
      <c r="S343" s="29">
        <v>184750</v>
      </c>
    </row>
    <row r="344" spans="13:19" x14ac:dyDescent="0.25">
      <c r="M344" s="80" t="s">
        <v>21</v>
      </c>
      <c r="N344" s="70" t="s">
        <v>404</v>
      </c>
      <c r="O344" s="68"/>
      <c r="P344" s="71" t="s">
        <v>405</v>
      </c>
      <c r="Q344" s="71" t="s">
        <v>406</v>
      </c>
      <c r="R344" s="71" t="s">
        <v>49</v>
      </c>
      <c r="S344" s="29">
        <v>222500</v>
      </c>
    </row>
    <row r="345" spans="13:19" x14ac:dyDescent="0.25">
      <c r="M345" s="80" t="s">
        <v>21</v>
      </c>
      <c r="N345" s="70" t="s">
        <v>408</v>
      </c>
      <c r="O345" s="68"/>
      <c r="P345" s="71" t="s">
        <v>405</v>
      </c>
      <c r="Q345" s="71" t="s">
        <v>409</v>
      </c>
      <c r="R345" s="71" t="s">
        <v>49</v>
      </c>
      <c r="S345" s="29">
        <v>329000</v>
      </c>
    </row>
    <row r="346" spans="13:19" x14ac:dyDescent="0.25">
      <c r="M346" s="80" t="s">
        <v>21</v>
      </c>
      <c r="N346" s="70" t="s">
        <v>411</v>
      </c>
      <c r="O346" s="68"/>
      <c r="P346" s="71" t="s">
        <v>405</v>
      </c>
      <c r="Q346" s="71" t="s">
        <v>48</v>
      </c>
      <c r="R346" s="71" t="s">
        <v>49</v>
      </c>
      <c r="S346" s="29">
        <v>212750</v>
      </c>
    </row>
    <row r="347" spans="13:19" x14ac:dyDescent="0.25">
      <c r="M347" s="80" t="s">
        <v>21</v>
      </c>
      <c r="N347" s="70" t="s">
        <v>413</v>
      </c>
      <c r="O347" s="68"/>
      <c r="P347" s="71" t="s">
        <v>405</v>
      </c>
      <c r="Q347" s="71" t="s">
        <v>48</v>
      </c>
      <c r="R347" s="71" t="s">
        <v>49</v>
      </c>
      <c r="S347" s="29">
        <v>212750</v>
      </c>
    </row>
    <row r="348" spans="13:19" x14ac:dyDescent="0.25">
      <c r="M348" s="80" t="s">
        <v>21</v>
      </c>
      <c r="N348" s="70" t="s">
        <v>415</v>
      </c>
      <c r="O348" s="68"/>
      <c r="P348" s="71" t="s">
        <v>405</v>
      </c>
      <c r="Q348" s="71" t="s">
        <v>216</v>
      </c>
      <c r="R348" s="71" t="s">
        <v>49</v>
      </c>
      <c r="S348" s="29">
        <v>225500</v>
      </c>
    </row>
    <row r="349" spans="13:19" x14ac:dyDescent="0.25">
      <c r="M349" s="80" t="s">
        <v>21</v>
      </c>
      <c r="N349" s="70" t="s">
        <v>417</v>
      </c>
      <c r="O349" s="68"/>
      <c r="P349" s="71" t="s">
        <v>405</v>
      </c>
      <c r="Q349" s="71" t="s">
        <v>418</v>
      </c>
      <c r="R349" s="71" t="s">
        <v>49</v>
      </c>
      <c r="S349" s="29">
        <v>224000</v>
      </c>
    </row>
    <row r="350" spans="13:19" x14ac:dyDescent="0.25">
      <c r="M350" s="80" t="s">
        <v>21</v>
      </c>
      <c r="N350" s="70" t="s">
        <v>420</v>
      </c>
      <c r="O350" s="68"/>
      <c r="P350" s="71" t="s">
        <v>405</v>
      </c>
      <c r="Q350" s="71" t="s">
        <v>338</v>
      </c>
      <c r="R350" s="71" t="s">
        <v>49</v>
      </c>
      <c r="S350" s="29">
        <v>235250</v>
      </c>
    </row>
    <row r="351" spans="13:19" x14ac:dyDescent="0.25">
      <c r="M351" s="80" t="s">
        <v>21</v>
      </c>
      <c r="N351" s="70" t="s">
        <v>422</v>
      </c>
      <c r="O351" s="68"/>
      <c r="P351" s="71" t="s">
        <v>405</v>
      </c>
      <c r="Q351" s="71" t="s">
        <v>216</v>
      </c>
      <c r="R351" s="71" t="s">
        <v>49</v>
      </c>
      <c r="S351" s="29">
        <v>221750</v>
      </c>
    </row>
    <row r="352" spans="13:19" x14ac:dyDescent="0.25">
      <c r="M352" s="80" t="s">
        <v>21</v>
      </c>
      <c r="N352" s="70" t="s">
        <v>424</v>
      </c>
      <c r="O352" s="68"/>
      <c r="P352" s="71" t="s">
        <v>405</v>
      </c>
      <c r="Q352" s="71" t="s">
        <v>425</v>
      </c>
      <c r="R352" s="71" t="s">
        <v>49</v>
      </c>
      <c r="S352" s="29">
        <v>245750</v>
      </c>
    </row>
    <row r="353" spans="13:19" x14ac:dyDescent="0.25">
      <c r="M353" s="80" t="s">
        <v>21</v>
      </c>
      <c r="N353" s="70" t="s">
        <v>427</v>
      </c>
      <c r="O353" s="68"/>
      <c r="P353" s="71" t="s">
        <v>405</v>
      </c>
      <c r="Q353" s="71" t="s">
        <v>428</v>
      </c>
      <c r="R353" s="71" t="s">
        <v>49</v>
      </c>
      <c r="S353" s="29">
        <v>215000</v>
      </c>
    </row>
    <row r="354" spans="13:19" x14ac:dyDescent="0.25">
      <c r="M354" s="80" t="s">
        <v>21</v>
      </c>
      <c r="N354" s="70" t="s">
        <v>430</v>
      </c>
      <c r="O354" s="68"/>
      <c r="P354" s="71" t="s">
        <v>405</v>
      </c>
      <c r="Q354" s="71" t="s">
        <v>431</v>
      </c>
      <c r="R354" s="71" t="s">
        <v>49</v>
      </c>
      <c r="S354" s="29">
        <v>257000</v>
      </c>
    </row>
    <row r="355" spans="13:19" x14ac:dyDescent="0.25">
      <c r="M355" s="80" t="s">
        <v>21</v>
      </c>
      <c r="N355" s="70" t="s">
        <v>433</v>
      </c>
      <c r="O355" s="68"/>
      <c r="P355" s="71" t="s">
        <v>405</v>
      </c>
      <c r="Q355" s="71" t="s">
        <v>425</v>
      </c>
      <c r="R355" s="71" t="s">
        <v>49</v>
      </c>
      <c r="S355" s="29">
        <v>257000</v>
      </c>
    </row>
    <row r="356" spans="13:19" x14ac:dyDescent="0.25">
      <c r="M356" s="80" t="s">
        <v>21</v>
      </c>
      <c r="N356" s="70" t="s">
        <v>435</v>
      </c>
      <c r="O356" s="68"/>
      <c r="P356" s="71" t="s">
        <v>405</v>
      </c>
      <c r="Q356" s="71" t="s">
        <v>436</v>
      </c>
      <c r="R356" s="71" t="s">
        <v>49</v>
      </c>
      <c r="S356" s="29">
        <v>239750</v>
      </c>
    </row>
    <row r="357" spans="13:19" x14ac:dyDescent="0.25">
      <c r="M357" s="80" t="s">
        <v>21</v>
      </c>
      <c r="N357" s="70" t="s">
        <v>438</v>
      </c>
      <c r="O357" s="68"/>
      <c r="P357" s="71" t="s">
        <v>405</v>
      </c>
      <c r="Q357" s="71" t="s">
        <v>439</v>
      </c>
      <c r="R357" s="71" t="s">
        <v>49</v>
      </c>
      <c r="S357" s="29">
        <v>238250</v>
      </c>
    </row>
    <row r="358" spans="13:19" x14ac:dyDescent="0.25">
      <c r="M358" s="80" t="s">
        <v>21</v>
      </c>
      <c r="N358" s="70" t="s">
        <v>441</v>
      </c>
      <c r="O358" s="68"/>
      <c r="P358" s="71" t="s">
        <v>405</v>
      </c>
      <c r="Q358" s="71" t="s">
        <v>48</v>
      </c>
      <c r="R358" s="71" t="s">
        <v>49</v>
      </c>
      <c r="S358" s="29">
        <v>202250</v>
      </c>
    </row>
    <row r="359" spans="13:19" x14ac:dyDescent="0.25">
      <c r="M359" s="80" t="s">
        <v>21</v>
      </c>
      <c r="N359" s="70" t="s">
        <v>443</v>
      </c>
      <c r="O359" s="68"/>
      <c r="P359" s="71" t="s">
        <v>405</v>
      </c>
      <c r="Q359" s="71" t="s">
        <v>436</v>
      </c>
      <c r="R359" s="71" t="s">
        <v>49</v>
      </c>
      <c r="S359" s="29">
        <v>305750</v>
      </c>
    </row>
    <row r="360" spans="13:19" x14ac:dyDescent="0.25">
      <c r="M360" s="80" t="s">
        <v>21</v>
      </c>
      <c r="N360" s="70" t="s">
        <v>445</v>
      </c>
      <c r="O360" s="68"/>
      <c r="P360" s="71" t="s">
        <v>405</v>
      </c>
      <c r="Q360" s="71" t="s">
        <v>446</v>
      </c>
      <c r="R360" s="71" t="s">
        <v>49</v>
      </c>
      <c r="S360" s="29">
        <v>220250</v>
      </c>
    </row>
    <row r="361" spans="13:19" x14ac:dyDescent="0.25">
      <c r="M361" s="80" t="s">
        <v>21</v>
      </c>
      <c r="N361" s="70" t="s">
        <v>448</v>
      </c>
      <c r="O361" s="68"/>
      <c r="P361" s="71" t="s">
        <v>405</v>
      </c>
      <c r="Q361" s="71" t="s">
        <v>449</v>
      </c>
      <c r="R361" s="71" t="s">
        <v>49</v>
      </c>
      <c r="S361" s="29">
        <v>236750</v>
      </c>
    </row>
    <row r="362" spans="13:19" x14ac:dyDescent="0.25">
      <c r="M362" s="80" t="s">
        <v>21</v>
      </c>
      <c r="N362" s="70" t="s">
        <v>451</v>
      </c>
      <c r="O362" s="68"/>
      <c r="P362" s="71" t="s">
        <v>405</v>
      </c>
      <c r="Q362" s="71" t="s">
        <v>452</v>
      </c>
      <c r="R362" s="71" t="s">
        <v>49</v>
      </c>
      <c r="S362" s="29">
        <v>204500</v>
      </c>
    </row>
    <row r="363" spans="13:19" x14ac:dyDescent="0.25">
      <c r="M363" s="80" t="s">
        <v>21</v>
      </c>
      <c r="N363" s="70" t="s">
        <v>454</v>
      </c>
      <c r="O363" s="68"/>
      <c r="P363" s="71" t="s">
        <v>405</v>
      </c>
      <c r="Q363" s="71" t="s">
        <v>436</v>
      </c>
      <c r="R363" s="71" t="s">
        <v>49</v>
      </c>
      <c r="S363" s="29">
        <v>284000</v>
      </c>
    </row>
    <row r="364" spans="13:19" x14ac:dyDescent="0.25">
      <c r="M364" s="80" t="s">
        <v>21</v>
      </c>
      <c r="N364" s="77" t="s">
        <v>456</v>
      </c>
      <c r="O364" s="68"/>
      <c r="P364" s="78" t="s">
        <v>405</v>
      </c>
      <c r="Q364" s="78" t="s">
        <v>48</v>
      </c>
      <c r="R364" s="78" t="s">
        <v>49</v>
      </c>
      <c r="S364" s="33">
        <v>212750</v>
      </c>
    </row>
    <row r="365" spans="13:19" x14ac:dyDescent="0.25">
      <c r="M365" s="80" t="s">
        <v>21</v>
      </c>
      <c r="N365" s="70" t="s">
        <v>458</v>
      </c>
      <c r="O365" s="68"/>
      <c r="P365" s="71" t="s">
        <v>405</v>
      </c>
      <c r="Q365" s="71" t="s">
        <v>349</v>
      </c>
      <c r="R365" s="71" t="s">
        <v>49</v>
      </c>
      <c r="S365" s="29">
        <v>210500</v>
      </c>
    </row>
    <row r="366" spans="13:19" x14ac:dyDescent="0.25">
      <c r="M366" s="80" t="s">
        <v>21</v>
      </c>
      <c r="N366" s="70" t="s">
        <v>460</v>
      </c>
      <c r="O366" s="68"/>
      <c r="P366" s="71" t="s">
        <v>405</v>
      </c>
      <c r="Q366" s="71" t="s">
        <v>446</v>
      </c>
      <c r="R366" s="71" t="s">
        <v>49</v>
      </c>
      <c r="S366" s="29">
        <v>225500</v>
      </c>
    </row>
    <row r="367" spans="13:19" x14ac:dyDescent="0.25">
      <c r="M367" s="80" t="s">
        <v>21</v>
      </c>
      <c r="N367" s="70" t="s">
        <v>462</v>
      </c>
      <c r="O367" s="68"/>
      <c r="P367" s="71" t="s">
        <v>405</v>
      </c>
      <c r="Q367" s="71" t="s">
        <v>463</v>
      </c>
      <c r="R367" s="71" t="s">
        <v>49</v>
      </c>
      <c r="S367" s="29">
        <v>207500</v>
      </c>
    </row>
    <row r="368" spans="13:19" x14ac:dyDescent="0.25">
      <c r="M368" s="80" t="s">
        <v>21</v>
      </c>
      <c r="N368" s="70" t="s">
        <v>465</v>
      </c>
      <c r="O368" s="68"/>
      <c r="P368" s="71" t="s">
        <v>405</v>
      </c>
      <c r="Q368" s="71" t="s">
        <v>346</v>
      </c>
      <c r="R368" s="71" t="s">
        <v>49</v>
      </c>
      <c r="S368" s="29">
        <v>299000</v>
      </c>
    </row>
    <row r="369" spans="13:19" x14ac:dyDescent="0.25">
      <c r="M369" s="80" t="s">
        <v>21</v>
      </c>
      <c r="N369" s="70" t="s">
        <v>467</v>
      </c>
      <c r="O369" s="68"/>
      <c r="P369" s="71" t="s">
        <v>405</v>
      </c>
      <c r="Q369" s="71" t="s">
        <v>468</v>
      </c>
      <c r="R369" s="71" t="s">
        <v>49</v>
      </c>
      <c r="S369" s="29">
        <v>238250</v>
      </c>
    </row>
    <row r="370" spans="13:19" x14ac:dyDescent="0.25">
      <c r="M370" s="80" t="s">
        <v>21</v>
      </c>
      <c r="N370" s="70" t="s">
        <v>470</v>
      </c>
      <c r="O370" s="68"/>
      <c r="P370" s="71" t="s">
        <v>405</v>
      </c>
      <c r="Q370" s="71" t="s">
        <v>471</v>
      </c>
      <c r="R370" s="71" t="s">
        <v>49</v>
      </c>
      <c r="S370" s="29">
        <v>212750</v>
      </c>
    </row>
    <row r="371" spans="13:19" x14ac:dyDescent="0.25">
      <c r="M371" s="80" t="s">
        <v>21</v>
      </c>
      <c r="N371" s="70" t="s">
        <v>473</v>
      </c>
      <c r="O371" s="68"/>
      <c r="P371" s="71" t="s">
        <v>474</v>
      </c>
      <c r="Q371" s="71" t="s">
        <v>475</v>
      </c>
      <c r="R371" s="71" t="s">
        <v>476</v>
      </c>
      <c r="S371" s="29">
        <v>430000</v>
      </c>
    </row>
    <row r="372" spans="13:19" x14ac:dyDescent="0.25">
      <c r="M372" s="80" t="s">
        <v>21</v>
      </c>
      <c r="N372" s="70" t="s">
        <v>478</v>
      </c>
      <c r="O372" s="68"/>
      <c r="P372" s="71" t="s">
        <v>474</v>
      </c>
      <c r="Q372" s="71" t="s">
        <v>476</v>
      </c>
      <c r="R372" s="71" t="s">
        <v>49</v>
      </c>
      <c r="S372" s="29">
        <v>389500</v>
      </c>
    </row>
    <row r="373" spans="13:19" x14ac:dyDescent="0.25">
      <c r="M373" s="80" t="s">
        <v>21</v>
      </c>
      <c r="N373" s="70" t="s">
        <v>480</v>
      </c>
      <c r="O373" s="68"/>
      <c r="P373" s="71" t="s">
        <v>474</v>
      </c>
      <c r="Q373" s="71" t="s">
        <v>481</v>
      </c>
      <c r="R373" s="71" t="s">
        <v>476</v>
      </c>
      <c r="S373" s="29">
        <v>472750</v>
      </c>
    </row>
    <row r="374" spans="13:19" x14ac:dyDescent="0.25">
      <c r="M374" s="80" t="s">
        <v>21</v>
      </c>
      <c r="N374" s="70" t="s">
        <v>483</v>
      </c>
      <c r="O374" s="68"/>
      <c r="P374" s="71" t="s">
        <v>474</v>
      </c>
      <c r="Q374" s="71" t="s">
        <v>484</v>
      </c>
      <c r="R374" s="71" t="s">
        <v>476</v>
      </c>
      <c r="S374" s="29">
        <v>382750</v>
      </c>
    </row>
    <row r="375" spans="13:19" x14ac:dyDescent="0.25">
      <c r="M375" s="80" t="s">
        <v>21</v>
      </c>
      <c r="N375" s="70" t="s">
        <v>486</v>
      </c>
      <c r="O375" s="68"/>
      <c r="P375" s="71" t="s">
        <v>474</v>
      </c>
      <c r="Q375" s="71" t="s">
        <v>481</v>
      </c>
      <c r="R375" s="71" t="s">
        <v>476</v>
      </c>
      <c r="S375" s="29">
        <v>421000</v>
      </c>
    </row>
    <row r="376" spans="13:19" x14ac:dyDescent="0.25">
      <c r="M376" s="80" t="s">
        <v>21</v>
      </c>
      <c r="N376" s="70" t="s">
        <v>488</v>
      </c>
      <c r="O376" s="68"/>
      <c r="P376" s="71" t="s">
        <v>474</v>
      </c>
      <c r="Q376" s="71" t="s">
        <v>489</v>
      </c>
      <c r="R376" s="71" t="s">
        <v>476</v>
      </c>
      <c r="S376" s="29">
        <v>402250</v>
      </c>
    </row>
    <row r="377" spans="13:19" x14ac:dyDescent="0.25">
      <c r="M377" s="80" t="s">
        <v>21</v>
      </c>
      <c r="N377" s="70" t="s">
        <v>491</v>
      </c>
      <c r="O377" s="68"/>
      <c r="P377" s="71" t="s">
        <v>474</v>
      </c>
      <c r="Q377" s="71" t="s">
        <v>492</v>
      </c>
      <c r="R377" s="71" t="s">
        <v>493</v>
      </c>
      <c r="S377" s="29">
        <v>511000</v>
      </c>
    </row>
    <row r="378" spans="13:19" x14ac:dyDescent="0.25">
      <c r="M378" s="80" t="s">
        <v>21</v>
      </c>
      <c r="N378" s="70" t="s">
        <v>495</v>
      </c>
      <c r="O378" s="68"/>
      <c r="P378" s="71" t="s">
        <v>474</v>
      </c>
      <c r="Q378" s="71" t="s">
        <v>496</v>
      </c>
      <c r="R378" s="71" t="s">
        <v>476</v>
      </c>
      <c r="S378" s="29">
        <v>397750</v>
      </c>
    </row>
    <row r="379" spans="13:19" x14ac:dyDescent="0.25">
      <c r="M379" s="80" t="s">
        <v>21</v>
      </c>
      <c r="N379" s="70" t="s">
        <v>498</v>
      </c>
      <c r="O379" s="68"/>
      <c r="P379" s="71" t="s">
        <v>474</v>
      </c>
      <c r="Q379" s="71" t="s">
        <v>499</v>
      </c>
      <c r="R379" s="71" t="s">
        <v>493</v>
      </c>
      <c r="S379" s="29">
        <v>334000</v>
      </c>
    </row>
    <row r="380" spans="13:19" x14ac:dyDescent="0.25">
      <c r="M380" s="80" t="s">
        <v>21</v>
      </c>
      <c r="N380" s="70" t="s">
        <v>501</v>
      </c>
      <c r="O380" s="68"/>
      <c r="P380" s="71" t="s">
        <v>474</v>
      </c>
      <c r="Q380" s="71" t="s">
        <v>502</v>
      </c>
      <c r="R380" s="71" t="s">
        <v>493</v>
      </c>
      <c r="S380" s="29">
        <v>304750</v>
      </c>
    </row>
    <row r="381" spans="13:19" x14ac:dyDescent="0.25">
      <c r="M381" s="80" t="s">
        <v>21</v>
      </c>
      <c r="N381" s="70" t="s">
        <v>504</v>
      </c>
      <c r="O381" s="68"/>
      <c r="P381" s="71" t="s">
        <v>474</v>
      </c>
      <c r="Q381" s="71" t="s">
        <v>505</v>
      </c>
      <c r="R381" s="71" t="s">
        <v>493</v>
      </c>
      <c r="S381" s="29">
        <v>436000</v>
      </c>
    </row>
    <row r="382" spans="13:19" x14ac:dyDescent="0.25">
      <c r="M382" s="80" t="s">
        <v>21</v>
      </c>
      <c r="N382" s="70" t="s">
        <v>507</v>
      </c>
      <c r="O382" s="68"/>
      <c r="P382" s="71" t="s">
        <v>474</v>
      </c>
      <c r="Q382" s="71" t="s">
        <v>508</v>
      </c>
      <c r="R382" s="71" t="s">
        <v>476</v>
      </c>
      <c r="S382" s="29">
        <v>383500</v>
      </c>
    </row>
    <row r="383" spans="13:19" x14ac:dyDescent="0.25">
      <c r="M383" s="80" t="s">
        <v>21</v>
      </c>
      <c r="N383" s="70" t="s">
        <v>510</v>
      </c>
      <c r="O383" s="68"/>
      <c r="P383" s="71" t="s">
        <v>474</v>
      </c>
      <c r="Q383" s="71" t="s">
        <v>481</v>
      </c>
      <c r="R383" s="71" t="s">
        <v>476</v>
      </c>
      <c r="S383" s="29">
        <v>399250</v>
      </c>
    </row>
    <row r="384" spans="13:19" x14ac:dyDescent="0.25">
      <c r="M384" s="80" t="s">
        <v>21</v>
      </c>
      <c r="N384" s="70" t="s">
        <v>512</v>
      </c>
      <c r="O384" s="68"/>
      <c r="P384" s="71" t="s">
        <v>474</v>
      </c>
      <c r="Q384" s="71" t="s">
        <v>476</v>
      </c>
      <c r="R384" s="71" t="s">
        <v>476</v>
      </c>
      <c r="S384" s="29">
        <v>421000</v>
      </c>
    </row>
    <row r="385" spans="13:19" x14ac:dyDescent="0.25">
      <c r="M385" s="80" t="s">
        <v>21</v>
      </c>
      <c r="N385" s="70" t="s">
        <v>513</v>
      </c>
      <c r="O385" s="68"/>
      <c r="P385" s="71" t="s">
        <v>474</v>
      </c>
      <c r="Q385" s="71" t="s">
        <v>481</v>
      </c>
      <c r="R385" s="71" t="s">
        <v>476</v>
      </c>
      <c r="S385" s="29">
        <v>428500</v>
      </c>
    </row>
  </sheetData>
  <sheetProtection algorithmName="SHA-512" hashValue="y3Qf+YtOcg/+xHVDXEcdJHj1c7mi0bJn+k33XGEUho9jzOT7mOGevXNlHVR8wAg3K1w4UbmToF3iNfiWDIlc7A==" saltValue="aRJl7M0SNTBeKR9oeQV+UQ==" spinCount="100000" sheet="1" objects="1" scenarios="1"/>
  <autoFilter ref="A68:B128" xr:uid="{616EDEF2-4B2A-4365-B4EF-11641C4A800B}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D5298F-D70F-47AF-9D02-4BBFCBA5E8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a45df5-754a-416f-a615-16c5d1ea499f"/>
    <ds:schemaRef ds:uri="6a760d76-56c9-4564-aaf3-217c3e3877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A11BC7-6FDE-4331-A876-6121A63CC520}">
  <ds:schemaRefs>
    <ds:schemaRef ds:uri="http://schemas.microsoft.com/office/2006/metadata/properties"/>
    <ds:schemaRef ds:uri="http://schemas.microsoft.com/office/infopath/2007/PartnerControls"/>
    <ds:schemaRef ds:uri="6a760d76-56c9-4564-aaf3-217c3e3877a9"/>
    <ds:schemaRef ds:uri="90a45df5-754a-416f-a615-16c5d1ea499f"/>
  </ds:schemaRefs>
</ds:datastoreItem>
</file>

<file path=customXml/itemProps3.xml><?xml version="1.0" encoding="utf-8"?>
<ds:datastoreItem xmlns:ds="http://schemas.openxmlformats.org/officeDocument/2006/customXml" ds:itemID="{8DBCE14A-0B32-48C6-9815-92B2E7C242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SP 2026</vt:lpstr>
      <vt:lpstr>ANEXO 7_A_SALIDAS </vt:lpstr>
      <vt:lpstr>BBDD_antiguo</vt:lpstr>
      <vt:lpstr>BBDD</vt:lpstr>
      <vt:lpstr>TIPO_BUS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Josefina Abarzua Varela</dc:creator>
  <cp:keywords/>
  <dc:description/>
  <cp:lastModifiedBy>Alex Iván Suazo Villacura</cp:lastModifiedBy>
  <cp:revision/>
  <dcterms:created xsi:type="dcterms:W3CDTF">2026-01-06T18:14:29Z</dcterms:created>
  <dcterms:modified xsi:type="dcterms:W3CDTF">2026-05-06T22:39:22Z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2026-01-06T19:26:25Z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1c9e4da2-29f1-483c-bdbb-8582927254f2</vt:lpwstr>
  </property>
  <property fmtid="{D5CDD505-2E9C-101B-9397-08002B2CF9AE}" pid="7" name="MSIP_Label_defa4170-0d19-0005-0004-bc88714345d2_ActionId">
    <vt:lpwstr>810d0eb9-38aa-4047-b95c-ee582aba2cd1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0x010100C89D2D723E31AD49A99754977A535CD5</vt:lpwstr>
  </property>
  <property fmtid="{D5CDD505-2E9C-101B-9397-08002B2CF9AE}" pid="11" name="MediaServiceImageTags">
    <vt:lpwstr/>
  </property>
</Properties>
</file>